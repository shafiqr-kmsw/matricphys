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hafiq\Documents\GitHub\matricphys\research-presentations\upsi2025\"/>
    </mc:Choice>
  </mc:AlternateContent>
  <xr:revisionPtr revIDLastSave="0" documentId="13_ncr:1_{4D334E5C-ED18-4531-9A31-F612BA1D067F}" xr6:coauthVersionLast="47" xr6:coauthVersionMax="47" xr10:uidLastSave="{00000000-0000-0000-0000-000000000000}"/>
  <bookViews>
    <workbookView xWindow="-120" yWindow="-120" windowWidth="20730" windowHeight="11160" activeTab="4" xr2:uid="{00000000-000D-0000-FFFF-FFFF00000000}"/>
  </bookViews>
  <sheets>
    <sheet name="Muka 1" sheetId="1" r:id="rId1"/>
    <sheet name="Muka 2" sheetId="2" r:id="rId2"/>
    <sheet name="Muka 3" sheetId="3" r:id="rId3"/>
    <sheet name="Muka 4" sheetId="4" r:id="rId4"/>
    <sheet name="Muka 5" sheetId="5" r:id="rId5"/>
    <sheet name="Muka 6" sheetId="6" r:id="rId6"/>
    <sheet name="SENARAI SEMAK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1" roundtripDataChecksum="7mrrXl20Som54AcrVF+qZDES9zfN7mYRpgROG+rhGJw="/>
    </ext>
  </extLst>
</workbook>
</file>

<file path=xl/calcChain.xml><?xml version="1.0" encoding="utf-8"?>
<calcChain xmlns="http://schemas.openxmlformats.org/spreadsheetml/2006/main">
  <c r="E18" i="1" l="1"/>
  <c r="G22" i="4"/>
  <c r="C22" i="4"/>
  <c r="G23" i="4" s="1"/>
  <c r="I25" i="3"/>
  <c r="D25" i="3"/>
  <c r="I17" i="3"/>
  <c r="H9" i="3"/>
  <c r="H8" i="3"/>
  <c r="H7" i="3"/>
  <c r="H6" i="3"/>
  <c r="H10" i="3" s="1"/>
  <c r="H13" i="2"/>
  <c r="H33" i="3" l="1"/>
  <c r="C15" i="5" a="1"/>
  <c r="D15" i="5" l="1"/>
  <c r="C15" i="5"/>
</calcChain>
</file>

<file path=xl/sharedStrings.xml><?xml version="1.0" encoding="utf-8"?>
<sst xmlns="http://schemas.openxmlformats.org/spreadsheetml/2006/main" count="319" uniqueCount="210">
  <si>
    <t>Pekeliling Perbendaharaan Malaysia</t>
  </si>
  <si>
    <t>WP1.4</t>
  </si>
  <si>
    <t>LAMPIRAN C</t>
  </si>
  <si>
    <t>BORANG TUNTUTAN ELAUN PERJALANAN DALAM NEGERI WP1.4</t>
  </si>
  <si>
    <t xml:space="preserve">BAGI BULAN </t>
  </si>
  <si>
    <t>:</t>
  </si>
  <si>
    <t>MAKLUMAT PEGAWAI</t>
  </si>
  <si>
    <t>Nama (Huruf Besar)</t>
  </si>
  <si>
    <t>No. Kad Pengenalan</t>
  </si>
  <si>
    <t>Jawatan</t>
  </si>
  <si>
    <t xml:space="preserve">Gred </t>
  </si>
  <si>
    <t>No. Akaun Bank</t>
  </si>
  <si>
    <t>Nama Bank</t>
  </si>
  <si>
    <t>No.Telefon (Pejabat/Bimbit)</t>
  </si>
  <si>
    <t>Pendapatan (RM)</t>
  </si>
  <si>
    <t>Gaji (RM)</t>
  </si>
  <si>
    <t>Elaun-elaun (RM)</t>
  </si>
  <si>
    <t>Jumlah (RM)</t>
  </si>
  <si>
    <t>Kenderaan</t>
  </si>
  <si>
    <t>Kereta</t>
  </si>
  <si>
    <t>Motosikal</t>
  </si>
  <si>
    <t>Jenis/ Model</t>
  </si>
  <si>
    <t>No. Pendaftaran</t>
  </si>
  <si>
    <t>Alamat Pejabat</t>
  </si>
  <si>
    <t>KOLEJ MATRIKULASI SARAWAK,KEMENTERIAN PENDIDIKAN MALAYSIA, LOT 216, FASA II,TAMAN PERINDUSTRIAN SEJINGKAT,LORONG DEMAK INADAH 5A1,93050 KUCHING, SARAWAK.</t>
  </si>
  <si>
    <t>Alamat Rumah Pegawai</t>
  </si>
  <si>
    <t>*Alamat Rumah Pemandu/ Juruiring/ Rapat/ Pengawal Peribadi</t>
  </si>
  <si>
    <t>*Alamat Rumah Majikan (Anggota Pentadbiran/ Pegawai Pengurusan Tertinggi Gred JUSA B dan ke atas)</t>
  </si>
  <si>
    <t>TIADA</t>
  </si>
  <si>
    <t>- Sila tambah ruangan jika tidak mencukupi.</t>
  </si>
  <si>
    <t>*Ruangan ini diisi oleh pegawai yang layak membuat tuntutan perjalanan di bawah PP WP1.6.</t>
  </si>
  <si>
    <t>KENYATAAN TUNTUTAN</t>
  </si>
  <si>
    <t>Tarikh</t>
  </si>
  <si>
    <t>Butiran Tuntutan</t>
  </si>
  <si>
    <t>Jarak</t>
  </si>
  <si>
    <t xml:space="preserve">Bertolak </t>
  </si>
  <si>
    <t>Sampai</t>
  </si>
  <si>
    <t>(km)</t>
  </si>
  <si>
    <t>Jumlah</t>
  </si>
  <si>
    <t>-    Sila tambah ruangan jika tidak mencukupi</t>
  </si>
  <si>
    <t>-    Pegawai perlu menyatakan dengan jelas butiran tuntutan di kenyataan tuntutan seperti berikut :</t>
  </si>
  <si>
    <r>
      <rPr>
        <u/>
        <sz val="10"/>
        <color theme="1"/>
        <rFont val="Arial"/>
      </rPr>
      <t xml:space="preserve">     </t>
    </r>
    <r>
      <rPr>
        <u/>
        <sz val="10"/>
        <color theme="1"/>
        <rFont val="Arial"/>
      </rPr>
      <t>Perjalanan pergi dan pulang:</t>
    </r>
  </si>
  <si>
    <t xml:space="preserve">     1. Lokasi tempat bertolak</t>
  </si>
  <si>
    <t xml:space="preserve">     2. Lokasi tempat dituju</t>
  </si>
  <si>
    <t xml:space="preserve">     3. Tujuan Perjalanan</t>
  </si>
  <si>
    <t xml:space="preserve">     4. Lain-lain tuntutan (sekiranya ada) :</t>
  </si>
  <si>
    <t xml:space="preserve">               a)  Caj/bayaran parkir;</t>
  </si>
  <si>
    <t xml:space="preserve">               b)  Caj/bayaran tol sekiranya ada;</t>
  </si>
  <si>
    <t xml:space="preserve">               c)  Elaun makan/harian sekiranya ada;</t>
  </si>
  <si>
    <t xml:space="preserve">               d)  Tuntutan hotel/lojing sekiranya ada; dan/atau</t>
  </si>
  <si>
    <t xml:space="preserve">               e)  Lain-lain tuntutan sekiranya ada.</t>
  </si>
  <si>
    <t>BAHAGIAN A</t>
  </si>
  <si>
    <t xml:space="preserve"> ELAUN PERJALANAN KENDERAAN</t>
  </si>
  <si>
    <t>Jenis Kenderaan</t>
  </si>
  <si>
    <t>Kiraan Kilometer</t>
  </si>
  <si>
    <t>Jarak (km)</t>
  </si>
  <si>
    <t xml:space="preserve">Kadar Sekilometer </t>
  </si>
  <si>
    <t>500 km pertama</t>
  </si>
  <si>
    <t>RM</t>
  </si>
  <si>
    <t>sen/km</t>
  </si>
  <si>
    <t>501 km dan seterusnya</t>
  </si>
  <si>
    <t>TUNTUTAN TAMBANG PENGANGKUTAN AWAM</t>
  </si>
  <si>
    <t>Teksi/Kereta Sewa [Resit ……………………..…………………..............]</t>
  </si>
  <si>
    <t>Bas [Resit …..………….………………………..……................................]</t>
  </si>
  <si>
    <t>Feri [Resit ..….……..…………………….…….………..............................]</t>
  </si>
  <si>
    <t>TUNTUTAN ELAUN MAKAN/ ELAUN HARIAN</t>
  </si>
  <si>
    <t>(SEMENANJUNG MALAYSIA)</t>
  </si>
  <si>
    <t>(SABAH/ SARAWAK/ WP LABUAN)</t>
  </si>
  <si>
    <t>ELAUN MAKAN</t>
  </si>
  <si>
    <t>Bahagian Makan</t>
  </si>
  <si>
    <t>Bil.  Dituntut</t>
  </si>
  <si>
    <t>Bil.     Hari</t>
  </si>
  <si>
    <t>• Sarapan Pagi</t>
  </si>
  <si>
    <t xml:space="preserve">• Sarapan Pagi </t>
  </si>
  <si>
    <t>• Makan Tengah Hari</t>
  </si>
  <si>
    <t>• Makan Malam</t>
  </si>
  <si>
    <t>Elaun Makan X ………….sebanyak RM ………… / hari</t>
  </si>
  <si>
    <t>Elaun Makan X ….sebanyak RM …….../ hari</t>
  </si>
  <si>
    <t xml:space="preserve"> </t>
  </si>
  <si>
    <t>Jumlah (RM) ……………………..</t>
  </si>
  <si>
    <t>Jumlah (RM) ……………….</t>
  </si>
  <si>
    <t>ELAUN HARIAN</t>
  </si>
  <si>
    <t>Elaun Harian  X ………….sebanyak RM …………     ./ hari</t>
  </si>
  <si>
    <t>Elaun Harian X …….sebanyak RM ……/ hari</t>
  </si>
  <si>
    <t>Jumlah (RM) ………</t>
  </si>
  <si>
    <t xml:space="preserve">                         Jumlah (RM)</t>
  </si>
  <si>
    <t xml:space="preserve">                               Jumlah (RM)</t>
  </si>
  <si>
    <t>JUMLAH (BAHAGIAN A)</t>
  </si>
  <si>
    <t>BAHAGIAN B</t>
  </si>
  <si>
    <t>TUNTUTAN BAYARAN SEWA HOTEL (BSH)</t>
  </si>
  <si>
    <t xml:space="preserve"> (SABAH/ SARAWAK /WP LABUAN)</t>
  </si>
  <si>
    <t>BSH  X ……….............. sebanyak</t>
  </si>
  <si>
    <t>BSH  X ………............ sebanyak</t>
  </si>
  <si>
    <t>RM ……………………./hari.</t>
  </si>
  <si>
    <t>RM ……......………./hari.</t>
  </si>
  <si>
    <t>(Termasuk Bayaran Perkhidmatan</t>
  </si>
  <si>
    <t>&amp; Cukai Perkhidmatan)</t>
  </si>
  <si>
    <t>[Resit ……………………………...]</t>
  </si>
  <si>
    <t>[Resit : .........................................]</t>
  </si>
  <si>
    <t>TUNTUTAN BAYARAN ELAUN LOJING</t>
  </si>
  <si>
    <t>(SABAH/SARAWAK/WP LABUAN)</t>
  </si>
  <si>
    <t>Elaun Lojing  X ………………..… sebanyak  RM………………./hari</t>
  </si>
  <si>
    <t>Tarikh Lojing :                                                                                Alamat Lojing:</t>
  </si>
  <si>
    <t>JUMLAH (BAHAGIAN B)</t>
  </si>
  <si>
    <t>- Sila tambah ruangan jika tidak mencukupi</t>
  </si>
  <si>
    <t>BAHAGIAN C</t>
  </si>
  <si>
    <t>BELANJA PELBAGAI</t>
  </si>
  <si>
    <t>Telefon, Telegram , Faks [Resit …………………….……….........................]</t>
  </si>
  <si>
    <t>Pos [Resit …………………………………………………..............................]</t>
  </si>
  <si>
    <t>Dobi [Resit ….………………………………….…………...............................]</t>
  </si>
  <si>
    <t>Cukai Lapangan Terbang [ Resit…………………………..............................]</t>
  </si>
  <si>
    <t>Lebihan Bagasi [ Resit……………………………………........................ ......]</t>
  </si>
  <si>
    <t>Tempat Letak Kereta [Resit/Penyata Touch&amp;Go/Lain-lain……..…………...]</t>
  </si>
  <si>
    <t>Tol [Resit/Penyata Touch&amp;Go/RFID/Lain-lain………………………..….......]</t>
  </si>
  <si>
    <t>Saringan/ Pengesanan/ Vaksin [Resit…...……….....………........................]</t>
  </si>
  <si>
    <t>Kemasukan ke Premis/Kawasan [Resit……………....................................]</t>
  </si>
  <si>
    <t xml:space="preserve">JUMLAH (BAHAGIAN C )  </t>
  </si>
  <si>
    <t xml:space="preserve">JUMLAH KESELURUHAN TUNTUTAN (BAHAGIAN A+B+C)     </t>
  </si>
  <si>
    <t>PENGAKUAN</t>
  </si>
  <si>
    <t>Saya mengaku bahawa:</t>
  </si>
  <si>
    <t>(a)  perjalanan pada tarikh-tarikh tersebut adalah benar dan telah dibuat atas urusan rasmi;</t>
  </si>
  <si>
    <t xml:space="preserve">(b)  tuntutan  ini  dibuat  mengikut  kadar  dan  syarat  seperti  yang  dinyatakan  di  bawah  peraturan </t>
  </si>
  <si>
    <t xml:space="preserve">       bertugas rasmi yang berkuat kuasa dan/atau peraturan berkursus yang berkuat kuasa;</t>
  </si>
  <si>
    <t xml:space="preserve">(c)  perbelanjaan yang tidak disokong dengan resit berjumlah sebanyak RM ……………………. telah </t>
  </si>
  <si>
    <t xml:space="preserve">      sebenarnya dilakukan dan dibayar oleh saya; dan</t>
  </si>
  <si>
    <t>(d) perbelanjaan yang disokong dengan resit bukan atas nama saya berjumlah sebanyak RM……… telah</t>
  </si>
  <si>
    <t xml:space="preserve">     sebenarnya dilakukan dan dibayar bagi pihak saya atas urusan rasmi dan tuntutan adalah berdasarkan</t>
  </si>
  <si>
    <t xml:space="preserve">     kelayakan saya; </t>
  </si>
  <si>
    <t>(e)  semua butiran yang dinyatakan di atas adalah tepat dan benar dan saya bertanggungjawab terhadap</t>
  </si>
  <si>
    <t xml:space="preserve">      semua maklumat yang dinyatakan; dan</t>
  </si>
  <si>
    <t>(f) Sekiranya saya mengemukakan tuntutan palsu, saya boleh dikenakan tindakan di bawah Seksyen 18</t>
  </si>
  <si>
    <t xml:space="preserve">     Akta Suruhanjaya Pencegahan Rasuah Malaysia 2009 [Akta 694] (Kesalahan dengan maksud untuk</t>
  </si>
  <si>
    <t xml:space="preserve">     memperdayakan prinsipal oleh ejen)</t>
  </si>
  <si>
    <t>Tarikh: ………………………………. …..                                       ……………………………………..</t>
  </si>
  <si>
    <t xml:space="preserve">                                                                                                              (Tandatangan Pemohon)</t>
  </si>
  <si>
    <t>PENGESAHAN</t>
  </si>
  <si>
    <t>Berdasarkan pengakuan yang dinyatakan oleh pegawai yang memohon, disahkan bahawa perjalanan tersebut telah dilaksanakan atas urusan rasmi dan kelayakan  tuntutan pegawai mematuhi peraturan kewangan yang berkuat kuasa.</t>
  </si>
  <si>
    <t>Tarikh: ……………………………..</t>
  </si>
  <si>
    <t>………………………………..</t>
  </si>
  <si>
    <t>(Tandatangan)</t>
  </si>
  <si>
    <t>(Nama)</t>
  </si>
  <si>
    <t>(Jawatan)</t>
  </si>
  <si>
    <t>b.p. Ketua Setiausaha/</t>
  </si>
  <si>
    <t>Pegawai Pengawal</t>
  </si>
  <si>
    <t>PENDAHULUAN DIRI (Jika Ada)</t>
  </si>
  <si>
    <t>Pendahuluan Diri diberi</t>
  </si>
  <si>
    <t>Tolak: Tuntutan sekarang</t>
  </si>
  <si>
    <t>Baki dituntut/Baki dibayar balik</t>
  </si>
  <si>
    <t>CATATAN:</t>
  </si>
  <si>
    <t>- Tuntutan perjalanan boleh dilaksanakan melalui Sistem Pengurusan Maklumat Sumber Manusia (HRMIS) tertakluk kepada arahan yang ditetapkan dari semasa ke semasa</t>
  </si>
  <si>
    <t>SENARAI SEMAK  DOKUMEN YANG PERLU DIKEMUKAKAN BAGI PERMOHONAN</t>
  </si>
  <si>
    <t>TUNTUTAN PERJALANAN TUGAS RASMI / BERKURSUS</t>
  </si>
  <si>
    <t>(**potong bahagian yang tidak berkenaan sama ada tugas rasmi atau berkursus)</t>
  </si>
  <si>
    <t>Dokumen-dokumen yang diperlukan:-</t>
  </si>
  <si>
    <t>1. Borang Tuntutan Perjalanan diisi selengkapnya (Lampiran A)</t>
  </si>
  <si>
    <r>
      <rPr>
        <sz val="12"/>
        <color rgb="FF000000"/>
        <rFont val="Times New Roman"/>
      </rPr>
      <t xml:space="preserve">     </t>
    </r>
    <r>
      <rPr>
        <sz val="12"/>
        <color rgb="FF000000"/>
        <rFont val="Arial"/>
      </rPr>
      <t xml:space="preserve"> a) </t>
    </r>
    <r>
      <rPr>
        <sz val="7"/>
        <color rgb="FF000000"/>
        <rFont val="Arial"/>
      </rPr>
      <t xml:space="preserve">   </t>
    </r>
    <r>
      <rPr>
        <sz val="12"/>
        <color rgb="FF000000"/>
        <rFont val="Arial"/>
      </rPr>
      <t>Bahagian pengakuan diisi oleh pemohon.</t>
    </r>
  </si>
  <si>
    <t xml:space="preserve">      b)   Bahagian pengesahan ditandatangani oleh Pengarah selepas dihantar ke</t>
  </si>
  <si>
    <t xml:space="preserve">            Unit Kewangan Kolej Matrikulasi Sarawak.</t>
  </si>
  <si>
    <r>
      <rPr>
        <sz val="12"/>
        <color rgb="FF000000"/>
        <rFont val="Arial"/>
      </rPr>
      <t>2.</t>
    </r>
    <r>
      <rPr>
        <sz val="7"/>
        <color rgb="FF000000"/>
        <rFont val="Times New Roman"/>
      </rPr>
      <t xml:space="preserve">      </t>
    </r>
    <r>
      <rPr>
        <sz val="12"/>
        <color rgb="FF000000"/>
        <rFont val="Arial"/>
      </rPr>
      <t>Salinan surat panggilan mesyuarat/menjalankan tugas rasmi atau berkursus</t>
    </r>
  </si>
  <si>
    <t xml:space="preserve">       yang telah disahkan oleh Ketua Jabatan.</t>
  </si>
  <si>
    <r>
      <rPr>
        <sz val="12"/>
        <color rgb="FF000000"/>
        <rFont val="Arial"/>
      </rPr>
      <t>3.</t>
    </r>
    <r>
      <rPr>
        <sz val="7"/>
        <color rgb="FF000000"/>
        <rFont val="Times New Roman"/>
      </rPr>
      <t xml:space="preserve">      </t>
    </r>
    <r>
      <rPr>
        <sz val="12"/>
        <color rgb="FF000000"/>
        <rFont val="Arial"/>
      </rPr>
      <t>Salinan Kad Pengenalan yang telah disahkan oleh Ketua Jabatan.</t>
    </r>
  </si>
  <si>
    <r>
      <rPr>
        <sz val="12"/>
        <color rgb="FF000000"/>
        <rFont val="Arial"/>
      </rPr>
      <t>4.</t>
    </r>
    <r>
      <rPr>
        <sz val="7"/>
        <color rgb="FF000000"/>
        <rFont val="Times New Roman"/>
      </rPr>
      <t xml:space="preserve">      </t>
    </r>
    <r>
      <rPr>
        <sz val="12"/>
        <color rgb="FF000000"/>
        <rFont val="Arial"/>
      </rPr>
      <t>Salinan Penyata Akaun Bank  yang telah disahkan oleh Ketua Jabatan.</t>
    </r>
  </si>
  <si>
    <r>
      <rPr>
        <sz val="12"/>
        <color rgb="FF000000"/>
        <rFont val="Arial"/>
      </rPr>
      <t>5.</t>
    </r>
    <r>
      <rPr>
        <sz val="7"/>
        <color rgb="FF000000"/>
        <rFont val="Times New Roman"/>
      </rPr>
      <t xml:space="preserve">      </t>
    </r>
    <r>
      <rPr>
        <sz val="12"/>
        <color rgb="FF000000"/>
        <rFont val="Arial"/>
      </rPr>
      <t>Salinan Geran Kenderaan sekiranya menuntut elaun perjalanan kenderaan</t>
    </r>
  </si>
  <si>
    <r>
      <rPr>
        <sz val="12"/>
        <color rgb="FF000000"/>
        <rFont val="Arial"/>
      </rPr>
      <t>6.</t>
    </r>
    <r>
      <rPr>
        <sz val="7"/>
        <color rgb="FF000000"/>
        <rFont val="Times New Roman"/>
      </rPr>
      <t xml:space="preserve">      </t>
    </r>
    <r>
      <rPr>
        <sz val="12"/>
        <color rgb="FF000000"/>
        <rFont val="Arial"/>
      </rPr>
      <t>Permohonan bagi pegawai yang menuntut elaun perjalanan kenderaan</t>
    </r>
  </si>
  <si>
    <t xml:space="preserve">      di Semenanjung Malaysia hendaklah mengemukakan salinan geran kenderaan </t>
  </si>
  <si>
    <t xml:space="preserve">      yang digunakan bagi menjalankan tugas rasmi/berkursus di Semenanjung Malaysia</t>
  </si>
  <si>
    <r>
      <rPr>
        <sz val="12"/>
        <color rgb="FF000000"/>
        <rFont val="Arial"/>
      </rPr>
      <t>7.</t>
    </r>
    <r>
      <rPr>
        <sz val="7"/>
        <color rgb="FF000000"/>
        <rFont val="Times New Roman"/>
      </rPr>
      <t xml:space="preserve">      </t>
    </r>
    <r>
      <rPr>
        <sz val="12"/>
        <color rgb="FF000000"/>
        <rFont val="Arial"/>
      </rPr>
      <t>Resit Asal hendaklah dikemukakan bersama tuntutan dan perlu disahkan oleh</t>
    </r>
  </si>
  <si>
    <t xml:space="preserve">      pemohon.</t>
  </si>
  <si>
    <t>8.   Bagi tuntutan teksi tanpa resit. Pegawai perlu mendapat kelulusan terus daripada</t>
  </si>
  <si>
    <t xml:space="preserve">      Pengarah KMSw sebelum menghantar borang permohonan tuntutan perjalanan ke</t>
  </si>
  <si>
    <t xml:space="preserve">      Unit Kewangan KMSw.</t>
  </si>
  <si>
    <t>11. Surat tidak menuntut Tuntutan yang dibayar pada bulan semasa</t>
  </si>
  <si>
    <t>12. Borang permohonan menjalankan tugas rasmi dan menghadiri kursus luar pejabat</t>
  </si>
  <si>
    <t>13. Buku pergerakan keluar masuk AM 109-Pin. 3/82 (Jika berkenaan)</t>
  </si>
  <si>
    <t>14. Boarding Pass dan Travel Itinerary perlu disertakan bagi pegawai yang menggunakan</t>
  </si>
  <si>
    <t xml:space="preserve">      Kapal Terbang untuk bertugas rasmi</t>
  </si>
  <si>
    <t>Nota:</t>
  </si>
  <si>
    <r>
      <rPr>
        <sz val="12"/>
        <color rgb="FF000000"/>
        <rFont val="Arial"/>
      </rPr>
      <t>*</t>
    </r>
    <r>
      <rPr>
        <b/>
        <i/>
        <sz val="12"/>
        <color rgb="FF000000"/>
        <rFont val="Arial"/>
      </rPr>
      <t xml:space="preserve">Ketiadaan dokumen-dokumen  di atas menyebabkan pembayaran Tuntutan Perjalanan  lewat diproses </t>
    </r>
  </si>
  <si>
    <t>OKTOBER / NOVEMBER</t>
  </si>
  <si>
    <t xml:space="preserve">SHAFIQ BIN RASULAN </t>
  </si>
  <si>
    <t>950922-12-6355</t>
  </si>
  <si>
    <t>PEGAWAI PERKHIDMATAN PENDIDIKAN</t>
  </si>
  <si>
    <t>DG9</t>
  </si>
  <si>
    <t>BANK ISLAM BERHAD</t>
  </si>
  <si>
    <t>14265020567232</t>
  </si>
  <si>
    <t>PERODUA AXIA</t>
  </si>
  <si>
    <t>QM5866G</t>
  </si>
  <si>
    <t>2093, LOR CAHYA INDAH 3, PETRA JAYA, 93050 KUCHING</t>
  </si>
  <si>
    <t>1135HRS</t>
  </si>
  <si>
    <t>1320HRS</t>
  </si>
  <si>
    <t>1905HRS</t>
  </si>
  <si>
    <t>2024HRS</t>
  </si>
  <si>
    <t>KERETAPI KL SENTRAL - TANJONG MALIM (NO 9032)</t>
  </si>
  <si>
    <t>PENERBANGAN KCH-KUL (AK5233)</t>
  </si>
  <si>
    <t>KERETAPI TANJONG MALIM - KL SENTRAL (NO 9035)</t>
  </si>
  <si>
    <t>1950HRS</t>
  </si>
  <si>
    <t>1645HRS</t>
  </si>
  <si>
    <t>1835HRS</t>
  </si>
  <si>
    <t>PENERBANGAN KUL-KCH (AK5212)</t>
  </si>
  <si>
    <t>2109HRS</t>
  </si>
  <si>
    <t>CHECK IN SG HOTEL (BOOKING NO. 1948671659)</t>
  </si>
  <si>
    <t xml:space="preserve">MENGHADIRI INNOCARE UPSI 2025 </t>
  </si>
  <si>
    <t>5/11/2025 - 8/11/2025</t>
  </si>
  <si>
    <t>-</t>
  </si>
  <si>
    <t>CHECK IN STAR SENTRAL HOTEL (BOOKING NO. 1948673941)</t>
  </si>
  <si>
    <t>Kereta Api [Resit K251039522858]</t>
  </si>
  <si>
    <r>
      <t>Lain-Lain</t>
    </r>
    <r>
      <rPr>
        <b/>
        <sz val="11"/>
        <color theme="1"/>
        <rFont val="Arial"/>
      </rPr>
      <t xml:space="preserve">  </t>
    </r>
    <r>
      <rPr>
        <sz val="11"/>
        <color theme="1"/>
        <rFont val="Arial"/>
      </rPr>
      <t>[Resit: AIRASIA (Service Tax Number : 1808-32000018)]</t>
    </r>
  </si>
  <si>
    <t>[Resit: BOOKING NO. 1948673941]</t>
  </si>
  <si>
    <t>[Resit: BOOKING NO. 1948671659]</t>
  </si>
  <si>
    <t>9.   No. Telefon Bimbit : 010-5520080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</si>
</sst>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.00_-;\-* #,##0.00_-;_-* &quot;-&quot;??_-;_-@"/>
  </numFmts>
  <fonts count="28">
    <font>
      <sz val="11"/>
      <color theme="1"/>
      <name val="Calibri"/>
      <scheme val="minor"/>
    </font>
    <font>
      <b/>
      <sz val="11"/>
      <color theme="1"/>
      <name val="Arial"/>
    </font>
    <font>
      <sz val="11"/>
      <name val="Calibri"/>
    </font>
    <font>
      <sz val="11"/>
      <color theme="1"/>
      <name val="Arial"/>
    </font>
    <font>
      <b/>
      <sz val="12"/>
      <color theme="1"/>
      <name val="Arial"/>
    </font>
    <font>
      <b/>
      <sz val="11"/>
      <color rgb="FF0070C0"/>
      <name val="Arial"/>
    </font>
    <font>
      <b/>
      <sz val="11"/>
      <color rgb="FF000000"/>
      <name val="Arial"/>
    </font>
    <font>
      <sz val="11"/>
      <color theme="1"/>
      <name val="Calibri"/>
    </font>
    <font>
      <b/>
      <sz val="10"/>
      <color theme="1"/>
      <name val="Arial"/>
    </font>
    <font>
      <sz val="12"/>
      <color theme="1"/>
      <name val="Arial"/>
    </font>
    <font>
      <sz val="10"/>
      <color theme="1"/>
      <name val="Arial"/>
    </font>
    <font>
      <u/>
      <sz val="10"/>
      <color theme="1"/>
      <name val="Arial"/>
    </font>
    <font>
      <u/>
      <sz val="12"/>
      <color rgb="FF000000"/>
      <name val="Arial"/>
    </font>
    <font>
      <i/>
      <u/>
      <sz val="12"/>
      <color rgb="FF000000"/>
      <name val="Arial"/>
    </font>
    <font>
      <b/>
      <sz val="9"/>
      <color rgb="FF000000"/>
      <name val="Arial"/>
    </font>
    <font>
      <u/>
      <sz val="12"/>
      <color rgb="FF000000"/>
      <name val="Arial"/>
    </font>
    <font>
      <sz val="12"/>
      <color rgb="FF000000"/>
      <name val="Arial"/>
    </font>
    <font>
      <sz val="12"/>
      <color rgb="FF000000"/>
      <name val="Times New Roman"/>
    </font>
    <font>
      <sz val="7"/>
      <color rgb="FF000000"/>
      <name val="Arial"/>
    </font>
    <font>
      <sz val="7"/>
      <color rgb="FF000000"/>
      <name val="Times New Roman"/>
    </font>
    <font>
      <b/>
      <i/>
      <sz val="12"/>
      <color rgb="FF000000"/>
      <name val="Arial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sz val="12"/>
      <color rgb="FF00000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0" borderId="0" xfId="0" applyFont="1"/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5" fillId="0" borderId="4" xfId="0" applyFont="1" applyBorder="1" applyAlignment="1">
      <alignment vertical="center"/>
    </xf>
    <xf numFmtId="0" fontId="3" fillId="0" borderId="10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5" fillId="0" borderId="11" xfId="0" applyFont="1" applyBorder="1" applyAlignment="1">
      <alignment vertical="center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1" fontId="4" fillId="0" borderId="15" xfId="0" applyNumberFormat="1" applyFont="1" applyBorder="1"/>
    <xf numFmtId="0" fontId="4" fillId="0" borderId="0" xfId="0" applyFont="1"/>
    <xf numFmtId="0" fontId="10" fillId="0" borderId="0" xfId="0" applyFont="1"/>
    <xf numFmtId="0" fontId="3" fillId="0" borderId="0" xfId="0" applyFont="1" applyAlignment="1">
      <alignment vertical="center"/>
    </xf>
    <xf numFmtId="0" fontId="1" fillId="0" borderId="15" xfId="0" applyFont="1" applyBorder="1" applyAlignment="1">
      <alignment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6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4" fontId="3" fillId="0" borderId="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5" xfId="0" applyFont="1" applyBorder="1" applyAlignment="1">
      <alignment horizontal="center" vertical="top"/>
    </xf>
    <xf numFmtId="0" fontId="3" fillId="0" borderId="15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center"/>
    </xf>
    <xf numFmtId="4" fontId="1" fillId="0" borderId="4" xfId="0" applyNumberFormat="1" applyFont="1" applyBorder="1" applyAlignment="1">
      <alignment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horizontal="center" vertical="top"/>
    </xf>
    <xf numFmtId="0" fontId="3" fillId="0" borderId="13" xfId="0" applyFont="1" applyBorder="1" applyAlignment="1">
      <alignment horizontal="center" vertical="top" wrapText="1"/>
    </xf>
    <xf numFmtId="0" fontId="3" fillId="0" borderId="5" xfId="0" applyFont="1" applyBorder="1" applyAlignment="1">
      <alignment vertical="center"/>
    </xf>
    <xf numFmtId="4" fontId="1" fillId="0" borderId="7" xfId="0" applyNumberFormat="1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164" fontId="1" fillId="0" borderId="15" xfId="0" applyNumberFormat="1" applyFont="1" applyBorder="1" applyAlignment="1">
      <alignment vertical="center"/>
    </xf>
    <xf numFmtId="0" fontId="3" fillId="0" borderId="6" xfId="0" applyFont="1" applyBorder="1" applyAlignment="1">
      <alignment vertical="top"/>
    </xf>
    <xf numFmtId="0" fontId="3" fillId="0" borderId="6" xfId="0" applyFont="1" applyBorder="1" applyAlignment="1">
      <alignment horizontal="center" vertical="top"/>
    </xf>
    <xf numFmtId="4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" fontId="1" fillId="0" borderId="9" xfId="0" applyNumberFormat="1" applyFont="1" applyBorder="1"/>
    <xf numFmtId="4" fontId="1" fillId="0" borderId="9" xfId="0" applyNumberFormat="1" applyFont="1" applyBorder="1" applyAlignment="1">
      <alignment horizontal="left"/>
    </xf>
    <xf numFmtId="0" fontId="3" fillId="0" borderId="10" xfId="0" applyFont="1" applyBorder="1" applyAlignment="1">
      <alignment vertical="center"/>
    </xf>
    <xf numFmtId="0" fontId="1" fillId="0" borderId="12" xfId="0" applyFont="1" applyBorder="1"/>
    <xf numFmtId="0" fontId="1" fillId="0" borderId="12" xfId="0" applyFont="1" applyBorder="1" applyAlignment="1">
      <alignment horizontal="center"/>
    </xf>
    <xf numFmtId="4" fontId="1" fillId="0" borderId="11" xfId="0" applyNumberFormat="1" applyFont="1" applyBorder="1"/>
    <xf numFmtId="0" fontId="1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4" fontId="3" fillId="0" borderId="9" xfId="0" applyNumberFormat="1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3" xfId="0" applyFont="1" applyBorder="1" applyAlignment="1">
      <alignment vertical="center"/>
    </xf>
    <xf numFmtId="0" fontId="10" fillId="0" borderId="16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8" fillId="0" borderId="2" xfId="0" applyFont="1" applyBorder="1" applyAlignment="1">
      <alignment horizontal="right" vertical="center"/>
    </xf>
    <xf numFmtId="0" fontId="8" fillId="0" borderId="1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5" xfId="0" applyFont="1" applyBorder="1" applyAlignment="1">
      <alignment horizontal="left" vertical="center"/>
    </xf>
    <xf numFmtId="4" fontId="3" fillId="0" borderId="9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4" fontId="1" fillId="0" borderId="9" xfId="0" applyNumberFormat="1" applyFont="1" applyBorder="1" applyAlignment="1">
      <alignment horizontal="center" vertical="center"/>
    </xf>
    <xf numFmtId="4" fontId="1" fillId="0" borderId="4" xfId="0" applyNumberFormat="1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2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6" xfId="0" applyFont="1" applyBorder="1"/>
    <xf numFmtId="0" fontId="3" fillId="0" borderId="14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6" fillId="0" borderId="0" xfId="0" applyFont="1" applyAlignment="1">
      <alignment horizontal="left"/>
    </xf>
    <xf numFmtId="0" fontId="7" fillId="0" borderId="17" xfId="0" applyFont="1" applyBorder="1"/>
    <xf numFmtId="0" fontId="16" fillId="0" borderId="0" xfId="0" applyFont="1"/>
    <xf numFmtId="0" fontId="16" fillId="0" borderId="0" xfId="0" applyFont="1" applyAlignment="1">
      <alignment wrapText="1"/>
    </xf>
    <xf numFmtId="0" fontId="21" fillId="0" borderId="4" xfId="0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0" fontId="22" fillId="0" borderId="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vertical="center"/>
    </xf>
    <xf numFmtId="0" fontId="22" fillId="0" borderId="18" xfId="0" applyFont="1" applyBorder="1" applyAlignment="1">
      <alignment horizontal="center" vertical="center"/>
    </xf>
    <xf numFmtId="1" fontId="22" fillId="0" borderId="7" xfId="0" applyNumberFormat="1" applyFont="1" applyBorder="1" applyAlignment="1">
      <alignment horizontal="center" vertical="center"/>
    </xf>
    <xf numFmtId="1" fontId="22" fillId="0" borderId="9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5" fillId="0" borderId="13" xfId="0" applyFont="1" applyBorder="1" applyAlignment="1">
      <alignment vertical="center"/>
    </xf>
    <xf numFmtId="0" fontId="25" fillId="0" borderId="16" xfId="0" applyFont="1" applyBorder="1" applyAlignment="1">
      <alignment vertical="center"/>
    </xf>
    <xf numFmtId="0" fontId="23" fillId="0" borderId="15" xfId="0" applyFont="1" applyBorder="1" applyAlignment="1">
      <alignment horizontal="left" vertical="center"/>
    </xf>
    <xf numFmtId="0" fontId="26" fillId="0" borderId="0" xfId="0" applyFont="1"/>
    <xf numFmtId="0" fontId="27" fillId="0" borderId="14" xfId="0" applyFont="1" applyBorder="1" applyAlignment="1">
      <alignment vertical="center"/>
    </xf>
    <xf numFmtId="14" fontId="22" fillId="0" borderId="21" xfId="0" applyNumberFormat="1" applyFont="1" applyBorder="1" applyAlignment="1">
      <alignment horizontal="center" vertical="center" wrapText="1"/>
    </xf>
    <xf numFmtId="14" fontId="22" fillId="0" borderId="19" xfId="0" applyNumberFormat="1" applyFont="1" applyBorder="1" applyAlignment="1">
      <alignment horizontal="center" vertical="center" wrapText="1"/>
    </xf>
    <xf numFmtId="14" fontId="22" fillId="0" borderId="2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4" xfId="0" applyFont="1" applyBorder="1"/>
    <xf numFmtId="0" fontId="3" fillId="0" borderId="2" xfId="0" applyFont="1" applyBorder="1" applyAlignment="1">
      <alignment horizontal="left" vertical="center"/>
    </xf>
    <xf numFmtId="0" fontId="2" fillId="0" borderId="3" xfId="0" applyFont="1" applyBorder="1"/>
    <xf numFmtId="49" fontId="21" fillId="0" borderId="3" xfId="0" applyNumberFormat="1" applyFont="1" applyBorder="1" applyAlignment="1">
      <alignment horizontal="left" vertical="center"/>
    </xf>
    <xf numFmtId="49" fontId="2" fillId="0" borderId="3" xfId="0" applyNumberFormat="1" applyFont="1" applyBorder="1"/>
    <xf numFmtId="49" fontId="2" fillId="0" borderId="4" xfId="0" applyNumberFormat="1" applyFont="1" applyBorder="1"/>
    <xf numFmtId="0" fontId="1" fillId="0" borderId="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164" fontId="1" fillId="0" borderId="3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4" fillId="0" borderId="3" xfId="0" applyFont="1" applyBorder="1" applyAlignment="1">
      <alignment horizontal="left" vertical="center"/>
    </xf>
    <xf numFmtId="0" fontId="4" fillId="0" borderId="10" xfId="0" applyFont="1" applyBorder="1" applyAlignment="1">
      <alignment horizontal="right" vertical="center"/>
    </xf>
    <xf numFmtId="0" fontId="22" fillId="0" borderId="8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12" xfId="0" applyFont="1" applyBorder="1"/>
    <xf numFmtId="0" fontId="22" fillId="0" borderId="5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4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right" vertical="center"/>
    </xf>
    <xf numFmtId="165" fontId="1" fillId="0" borderId="2" xfId="0" applyNumberFormat="1" applyFont="1" applyBorder="1" applyAlignment="1">
      <alignment horizontal="right" vertical="center"/>
    </xf>
    <xf numFmtId="0" fontId="1" fillId="0" borderId="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23" fillId="0" borderId="2" xfId="0" applyFont="1" applyBorder="1" applyAlignment="1">
      <alignment horizontal="left" vertical="center"/>
    </xf>
    <xf numFmtId="0" fontId="1" fillId="0" borderId="13" xfId="0" applyFont="1" applyBorder="1" applyAlignment="1">
      <alignment horizontal="center" vertical="center" wrapText="1"/>
    </xf>
    <xf numFmtId="0" fontId="2" fillId="0" borderId="14" xfId="0" applyFont="1" applyBorder="1"/>
    <xf numFmtId="164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4" fontId="8" fillId="0" borderId="3" xfId="0" applyNumberFormat="1" applyFont="1" applyBorder="1" applyAlignment="1">
      <alignment horizontal="center" vertical="center"/>
    </xf>
    <xf numFmtId="4" fontId="8" fillId="0" borderId="6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right" vertical="center"/>
    </xf>
    <xf numFmtId="2" fontId="8" fillId="0" borderId="3" xfId="0" applyNumberFormat="1" applyFont="1" applyBorder="1" applyAlignment="1">
      <alignment horizontal="center"/>
    </xf>
    <xf numFmtId="0" fontId="8" fillId="0" borderId="10" xfId="0" applyFont="1" applyBorder="1" applyAlignment="1">
      <alignment horizontal="center" vertical="center"/>
    </xf>
    <xf numFmtId="0" fontId="3" fillId="0" borderId="13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center" vertical="top"/>
    </xf>
    <xf numFmtId="0" fontId="2" fillId="0" borderId="16" xfId="0" applyFont="1" applyBorder="1"/>
    <xf numFmtId="4" fontId="10" fillId="0" borderId="5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23" fillId="0" borderId="3" xfId="0" quotePrefix="1" applyFont="1" applyBorder="1" applyAlignment="1">
      <alignment horizontal="left" vertical="center"/>
    </xf>
    <xf numFmtId="0" fontId="3" fillId="0" borderId="8" xfId="0" applyFont="1" applyBorder="1"/>
    <xf numFmtId="0" fontId="10" fillId="0" borderId="0" xfId="0" quotePrefix="1" applyFont="1" applyAlignment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 vertical="top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3" fillId="0" borderId="5" xfId="0" applyFont="1" applyBorder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16" fillId="0" borderId="0" xfId="0" applyFont="1" applyAlignment="1">
      <alignment horizontal="left" vertical="top" wrapText="1"/>
    </xf>
    <xf numFmtId="0" fontId="16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1104900</xdr:colOff>
      <xdr:row>10</xdr:row>
      <xdr:rowOff>0</xdr:rowOff>
    </xdr:from>
    <xdr:ext cx="85725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4922138" y="3646650"/>
          <a:ext cx="847725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PEMOHON</a:t>
          </a:r>
          <a:endParaRPr sz="1400"/>
        </a:p>
      </xdr:txBody>
    </xdr:sp>
    <xdr:clientData fLocksWithSheet="0"/>
  </xdr:oneCellAnchor>
  <xdr:oneCellAnchor>
    <xdr:from>
      <xdr:col>9</xdr:col>
      <xdr:colOff>285750</xdr:colOff>
      <xdr:row>10</xdr:row>
      <xdr:rowOff>0</xdr:rowOff>
    </xdr:from>
    <xdr:ext cx="1171575" cy="27622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4764975" y="3646650"/>
          <a:ext cx="116205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PEJABAT KMSw</a:t>
          </a:r>
          <a:endParaRPr sz="1100" b="1"/>
        </a:p>
      </xdr:txBody>
    </xdr:sp>
    <xdr:clientData fLocksWithSheet="0"/>
  </xdr:oneCellAnchor>
  <xdr:oneCellAnchor>
    <xdr:from>
      <xdr:col>4</xdr:col>
      <xdr:colOff>723900</xdr:colOff>
      <xdr:row>0</xdr:row>
      <xdr:rowOff>152400</xdr:rowOff>
    </xdr:from>
    <xdr:ext cx="981075" cy="10001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W1000"/>
  <sheetViews>
    <sheetView topLeftCell="A22" workbookViewId="0">
      <selection sqref="A1:H27"/>
    </sheetView>
  </sheetViews>
  <sheetFormatPr defaultColWidth="14.42578125" defaultRowHeight="15" customHeight="1"/>
  <cols>
    <col min="1" max="1" width="26.5703125" customWidth="1"/>
    <col min="2" max="2" width="2.42578125" customWidth="1"/>
    <col min="3" max="3" width="16.5703125" customWidth="1"/>
    <col min="4" max="4" width="2.7109375" customWidth="1"/>
    <col min="5" max="5" width="19.7109375" customWidth="1"/>
    <col min="6" max="6" width="18.28515625" customWidth="1"/>
    <col min="7" max="7" width="11.7109375" customWidth="1"/>
    <col min="8" max="8" width="6.5703125" customWidth="1"/>
    <col min="9" max="23" width="27.7109375" customWidth="1"/>
  </cols>
  <sheetData>
    <row r="1" spans="1:23" ht="14.25" customHeight="1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25" customHeight="1">
      <c r="A3" s="1"/>
      <c r="B3" s="1"/>
      <c r="C3" s="1"/>
      <c r="D3" s="1"/>
      <c r="E3" s="1"/>
      <c r="F3" s="1"/>
      <c r="G3" s="1"/>
      <c r="H3" s="2" t="s">
        <v>2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4.25" customHeight="1">
      <c r="A5" s="142" t="s">
        <v>3</v>
      </c>
      <c r="B5" s="143"/>
      <c r="C5" s="143"/>
      <c r="D5" s="143"/>
      <c r="E5" s="143"/>
      <c r="F5" s="143"/>
      <c r="G5" s="143"/>
      <c r="H5" s="14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25" customHeight="1">
      <c r="A6" s="1"/>
      <c r="B6" s="1" t="s">
        <v>4</v>
      </c>
      <c r="C6" s="1"/>
      <c r="D6" s="1" t="s">
        <v>5</v>
      </c>
      <c r="E6" s="144" t="s">
        <v>178</v>
      </c>
      <c r="F6" s="145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25" customHeight="1">
      <c r="A7" s="3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30" customHeight="1">
      <c r="A8" s="141" t="s">
        <v>6</v>
      </c>
      <c r="B8" s="126"/>
      <c r="C8" s="126"/>
      <c r="D8" s="126"/>
      <c r="E8" s="126"/>
      <c r="F8" s="126"/>
      <c r="G8" s="126"/>
      <c r="H8" s="124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30" customHeight="1">
      <c r="A9" s="5" t="s">
        <v>7</v>
      </c>
      <c r="B9" s="6" t="s">
        <v>5</v>
      </c>
      <c r="C9" s="146" t="s">
        <v>179</v>
      </c>
      <c r="D9" s="126"/>
      <c r="E9" s="126"/>
      <c r="F9" s="126"/>
      <c r="G9" s="126"/>
      <c r="H9" s="124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 spans="1:23" ht="30" customHeight="1">
      <c r="A10" s="5" t="s">
        <v>8</v>
      </c>
      <c r="B10" s="6" t="s">
        <v>5</v>
      </c>
      <c r="C10" s="130" t="s">
        <v>180</v>
      </c>
      <c r="D10" s="126"/>
      <c r="E10" s="126"/>
      <c r="F10" s="126"/>
      <c r="G10" s="126"/>
      <c r="H10" s="124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 spans="1:23" ht="30" customHeight="1">
      <c r="A11" s="5" t="s">
        <v>9</v>
      </c>
      <c r="B11" s="6" t="s">
        <v>5</v>
      </c>
      <c r="C11" s="130" t="s">
        <v>181</v>
      </c>
      <c r="D11" s="126"/>
      <c r="E11" s="126"/>
      <c r="F11" s="126"/>
      <c r="G11" s="126"/>
      <c r="H11" s="124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 spans="1:23" ht="30" customHeight="1">
      <c r="A12" s="5" t="s">
        <v>10</v>
      </c>
      <c r="B12" s="6" t="s">
        <v>5</v>
      </c>
      <c r="C12" s="130" t="s">
        <v>182</v>
      </c>
      <c r="D12" s="126"/>
      <c r="E12" s="126"/>
      <c r="F12" s="126"/>
      <c r="G12" s="126"/>
      <c r="H12" s="124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 spans="1:23" ht="30" customHeight="1">
      <c r="A13" s="5" t="s">
        <v>11</v>
      </c>
      <c r="B13" s="6" t="s">
        <v>5</v>
      </c>
      <c r="C13" s="127" t="s">
        <v>184</v>
      </c>
      <c r="D13" s="128"/>
      <c r="E13" s="128"/>
      <c r="F13" s="128"/>
      <c r="G13" s="128"/>
      <c r="H13" s="129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 spans="1:23" ht="30" customHeight="1">
      <c r="A14" s="8" t="s">
        <v>12</v>
      </c>
      <c r="B14" s="9" t="s">
        <v>5</v>
      </c>
      <c r="C14" s="130" t="s">
        <v>183</v>
      </c>
      <c r="D14" s="126"/>
      <c r="E14" s="126"/>
      <c r="F14" s="126"/>
      <c r="G14" s="126"/>
      <c r="H14" s="124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 spans="1:23" ht="30" customHeight="1">
      <c r="A15" s="8" t="s">
        <v>13</v>
      </c>
      <c r="B15" s="9" t="s">
        <v>5</v>
      </c>
      <c r="C15" s="130">
        <v>105520080</v>
      </c>
      <c r="D15" s="126"/>
      <c r="E15" s="126"/>
      <c r="F15" s="126"/>
      <c r="G15" s="126"/>
      <c r="H15" s="124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 spans="1:23" ht="30" customHeight="1">
      <c r="A16" s="131" t="s">
        <v>14</v>
      </c>
      <c r="B16" s="132"/>
      <c r="C16" s="6" t="s">
        <v>15</v>
      </c>
      <c r="D16" s="6" t="s">
        <v>5</v>
      </c>
      <c r="E16" s="137">
        <v>3888.3</v>
      </c>
      <c r="F16" s="126"/>
      <c r="G16" s="126"/>
      <c r="H16" s="124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 spans="1:23" ht="30" customHeight="1">
      <c r="A17" s="133"/>
      <c r="B17" s="134"/>
      <c r="C17" s="5" t="s">
        <v>16</v>
      </c>
      <c r="D17" s="6" t="s">
        <v>5</v>
      </c>
      <c r="E17" s="137">
        <v>1493.59</v>
      </c>
      <c r="F17" s="126"/>
      <c r="G17" s="126"/>
      <c r="H17" s="124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 spans="1:23" ht="30" customHeight="1">
      <c r="A18" s="135"/>
      <c r="B18" s="136"/>
      <c r="C18" s="5" t="s">
        <v>17</v>
      </c>
      <c r="D18" s="6" t="s">
        <v>5</v>
      </c>
      <c r="E18" s="137">
        <f>E17+E16</f>
        <v>5381.89</v>
      </c>
      <c r="F18" s="126"/>
      <c r="G18" s="126"/>
      <c r="H18" s="124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 spans="1:23" ht="30" customHeight="1">
      <c r="A19" s="138" t="s">
        <v>18</v>
      </c>
      <c r="B19" s="132"/>
      <c r="C19" s="141" t="s">
        <v>19</v>
      </c>
      <c r="D19" s="126"/>
      <c r="E19" s="124"/>
      <c r="F19" s="141" t="s">
        <v>20</v>
      </c>
      <c r="G19" s="126"/>
      <c r="H19" s="124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 spans="1:23" ht="30" customHeight="1">
      <c r="A20" s="133"/>
      <c r="B20" s="134"/>
      <c r="C20" s="5" t="s">
        <v>21</v>
      </c>
      <c r="D20" s="6" t="s">
        <v>5</v>
      </c>
      <c r="E20" s="101" t="s">
        <v>185</v>
      </c>
      <c r="F20" s="5" t="s">
        <v>21</v>
      </c>
      <c r="G20" s="6" t="s">
        <v>5</v>
      </c>
      <c r="H20" s="10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 spans="1:23" ht="30" customHeight="1">
      <c r="A21" s="135"/>
      <c r="B21" s="136"/>
      <c r="C21" s="11" t="s">
        <v>22</v>
      </c>
      <c r="D21" s="12" t="s">
        <v>5</v>
      </c>
      <c r="E21" s="102" t="s">
        <v>186</v>
      </c>
      <c r="F21" s="11" t="s">
        <v>22</v>
      </c>
      <c r="G21" s="12" t="s">
        <v>5</v>
      </c>
      <c r="H21" s="13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 spans="1:23" ht="64.5" customHeight="1">
      <c r="A22" s="125" t="s">
        <v>23</v>
      </c>
      <c r="B22" s="124"/>
      <c r="C22" s="139" t="s">
        <v>24</v>
      </c>
      <c r="D22" s="126"/>
      <c r="E22" s="126"/>
      <c r="F22" s="126"/>
      <c r="G22" s="126"/>
      <c r="H22" s="124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 spans="1:23" ht="48" customHeight="1">
      <c r="A23" s="125" t="s">
        <v>25</v>
      </c>
      <c r="B23" s="124"/>
      <c r="C23" s="140" t="s">
        <v>187</v>
      </c>
      <c r="D23" s="126"/>
      <c r="E23" s="126"/>
      <c r="F23" s="126"/>
      <c r="G23" s="126"/>
      <c r="H23" s="124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pans="1:23" ht="48" customHeight="1">
      <c r="A24" s="123" t="s">
        <v>26</v>
      </c>
      <c r="B24" s="124"/>
      <c r="C24" s="125"/>
      <c r="D24" s="126"/>
      <c r="E24" s="126"/>
      <c r="F24" s="126"/>
      <c r="G24" s="126"/>
      <c r="H24" s="124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 spans="1:23" ht="79.5" customHeight="1">
      <c r="A25" s="123" t="s">
        <v>27</v>
      </c>
      <c r="B25" s="124"/>
      <c r="C25" s="125" t="s">
        <v>28</v>
      </c>
      <c r="D25" s="126"/>
      <c r="E25" s="126"/>
      <c r="F25" s="126"/>
      <c r="G25" s="126"/>
      <c r="H25" s="124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 spans="1:23" ht="14.25" customHeight="1">
      <c r="A26" s="14" t="s">
        <v>29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 spans="1:23" ht="14.25" customHeight="1">
      <c r="A27" s="14" t="s">
        <v>30</v>
      </c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 spans="1:23" ht="14.25" customHeight="1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 spans="1:23" ht="14.25" customHeight="1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 spans="1:23" ht="14.25" customHeight="1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 spans="1:23" ht="14.25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 spans="1:23" ht="14.25" customHeight="1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 spans="1:23" ht="14.25" customHeight="1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 spans="1:23" ht="14.25" customHeight="1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 spans="1:23" ht="14.2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 spans="1:23" ht="14.2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 spans="1:23" ht="14.2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 spans="1:23" ht="14.2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 spans="1:23" ht="14.2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 spans="1:23" ht="14.2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 spans="1:23" ht="14.2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 spans="1:23" ht="14.2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 spans="1:23" ht="14.2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 spans="1:23" ht="14.2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 spans="1:23" ht="14.2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 spans="1:23" ht="14.2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 spans="1:23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 spans="1:23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</row>
    <row r="49" spans="1:23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</row>
    <row r="50" spans="1:23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</row>
    <row r="51" spans="1:23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</row>
    <row r="52" spans="1:23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</row>
    <row r="53" spans="1:23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</row>
    <row r="54" spans="1:23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</row>
    <row r="55" spans="1:23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</row>
    <row r="56" spans="1:23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</row>
    <row r="57" spans="1:23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</row>
    <row r="58" spans="1:23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</row>
    <row r="59" spans="1:23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</row>
    <row r="60" spans="1:23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</row>
    <row r="61" spans="1:23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</row>
    <row r="62" spans="1:23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</row>
    <row r="63" spans="1:23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</row>
    <row r="64" spans="1:23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</row>
    <row r="65" spans="1:23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</row>
    <row r="66" spans="1:23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 spans="1:23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 spans="1:23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 spans="1:23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 spans="1:23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 spans="1:23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 spans="1:23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 spans="1:23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 spans="1:23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 spans="1:23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 spans="1:23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 spans="1:23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 spans="1:23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 spans="1:23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 spans="1:23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 spans="1:23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 spans="1:23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 spans="1:23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 spans="1:23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 spans="1:23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 spans="1:23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 spans="1:23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 spans="1:23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 spans="1:23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 spans="1:23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 spans="1:23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 spans="1:23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 spans="1:23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 spans="1:23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 spans="1:23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 spans="1:23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 spans="1:23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 spans="1:23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 spans="1:23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 spans="1:23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 spans="1:23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 spans="1:23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 spans="1:23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 spans="1:23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 spans="1:23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 spans="1:23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 spans="1:23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 spans="1:23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 spans="1:23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 spans="1:23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 spans="1:23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 spans="1:23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 spans="1:23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 spans="1:23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 spans="1:23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 spans="1:23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 spans="1:23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 spans="1:23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 spans="1:23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 spans="1:23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 spans="1:23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 spans="1:23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 spans="1:23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 spans="1:23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 spans="1:23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 spans="1:23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 spans="1:23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 spans="1:23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 spans="1:23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 spans="1:23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 spans="1:23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 spans="1:23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 spans="1:23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 spans="1:23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 spans="1:23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 spans="1:23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 spans="1:23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 spans="1:23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 spans="1:23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 spans="1:23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 spans="1:23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 spans="1:23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 spans="1:23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 spans="1:23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 spans="1:23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 spans="1:23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 spans="1:23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 spans="1:23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 spans="1:23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 spans="1:23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 spans="1:23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 spans="1:23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 spans="1:23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 spans="1:23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 spans="1:23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 spans="1:23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 spans="1:23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 spans="1:23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 spans="1:23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 spans="1:23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 spans="1:23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 spans="1:23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 spans="1:23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 spans="1:23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 spans="1:23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 spans="1:23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 spans="1:23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 spans="1:23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 spans="1:23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 spans="1:23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 spans="1:23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 spans="1:23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 spans="1:23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 spans="1:23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 spans="1:23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 spans="1:23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 spans="1:23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 spans="1:23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 spans="1:23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 spans="1:23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 spans="1:23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 spans="1:23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 spans="1:23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 spans="1:23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 spans="1:23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 spans="1:23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 spans="1:23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 spans="1:23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 spans="1:23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 spans="1:23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 spans="1:23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 spans="1:23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 spans="1:23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 spans="1:23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 spans="1:23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 spans="1:23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 spans="1:23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 spans="1:23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 spans="1:23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 spans="1:23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 spans="1:23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 spans="1:23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 spans="1:23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 spans="1:23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 spans="1:23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 spans="1:23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 spans="1:23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 spans="1:23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 spans="1:23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 spans="1:23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 spans="1:23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 spans="1:23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 spans="1:23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 spans="1:23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 spans="1:23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 spans="1:23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 spans="1:23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 spans="1:23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 spans="1:23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 spans="1:23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 spans="1:23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 spans="1:23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 spans="1:23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 spans="1:23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 spans="1:23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 spans="1:23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 spans="1:23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 spans="1:23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 spans="1:23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 spans="1:23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 spans="1:23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 spans="1:23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 spans="1:23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 spans="1:23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 spans="1:23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 spans="1:23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 spans="1:23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 spans="1:23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 spans="1:23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 spans="1:23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 spans="1:23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 spans="1:23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 spans="1:23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 spans="1:23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 spans="1:23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 spans="1:23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 spans="1:23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 spans="1:23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 spans="1:23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 spans="1:23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 spans="1:23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 spans="1:23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 spans="1:23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 spans="1:23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 spans="1:23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 spans="1:23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 spans="1:23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 spans="1:23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 spans="1:23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 spans="1:23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 spans="1:23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 spans="1:23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 spans="1:23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 spans="1:23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 spans="1:23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 spans="1:23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 spans="1:23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 spans="1:23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 spans="1:23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 spans="1:23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 spans="1:23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 spans="1:23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 spans="1:23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 spans="1:23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 spans="1:23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 spans="1:23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 spans="1:23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 spans="1:23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 spans="1:23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 spans="1:23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 spans="1:23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 spans="1:23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 spans="1:23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 spans="1:23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 spans="1:23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 spans="1:23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 spans="1:23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 spans="1:23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 spans="1:23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 spans="1:23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 spans="1:23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 spans="1:23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 spans="1:23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 spans="1:23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 spans="1:23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 spans="1:23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 spans="1:23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 spans="1:23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 spans="1:23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 spans="1:23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 spans="1:23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 spans="1:23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 spans="1:23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 spans="1:23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 spans="1:23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 spans="1:23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 spans="1:23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 spans="1:23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 spans="1:23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 spans="1:23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 spans="1:23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 spans="1:23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 spans="1:23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 spans="1:23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 spans="1:23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 spans="1:23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 spans="1:23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 spans="1:23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 spans="1:23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 spans="1:23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 spans="1:23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 spans="1:23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 spans="1:23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 spans="1:23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 spans="1:23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 spans="1:23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 spans="1:23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 spans="1:23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 spans="1:23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 spans="1:23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 spans="1:23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 spans="1:23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 spans="1:23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 spans="1:23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 spans="1:23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 spans="1:23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 spans="1:23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 spans="1:23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 spans="1:23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 spans="1:23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 spans="1:23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 spans="1:23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 spans="1:23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 spans="1:23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 spans="1:23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 spans="1:23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 spans="1:23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 spans="1:23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 spans="1:23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 spans="1:23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 spans="1:23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 spans="1:23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 spans="1:23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 spans="1:23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 spans="1:23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 spans="1:23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 spans="1:23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 spans="1:23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 spans="1:23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 spans="1:23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 spans="1:23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 spans="1:23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 spans="1:23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 spans="1:23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 spans="1:23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 spans="1:23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 spans="1:23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 spans="1:23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 spans="1:23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 spans="1:23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 spans="1:23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 spans="1:23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 spans="1:23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 spans="1:23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 spans="1:23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 spans="1:23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 spans="1:23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 spans="1:23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 spans="1:23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 spans="1:23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 spans="1:23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 spans="1:23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 spans="1:23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 spans="1:23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 spans="1:23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 spans="1:23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 spans="1:23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 spans="1:23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 spans="1:23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 spans="1:23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 spans="1:23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 spans="1:23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 spans="1:23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 spans="1:23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 spans="1:23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 spans="1:23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 spans="1:23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 spans="1:23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 spans="1:23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 spans="1:23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 spans="1:23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 spans="1:23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 spans="1:23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 spans="1:23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 spans="1:23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 spans="1:23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 spans="1:23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 spans="1:23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 spans="1:23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 spans="1:23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 spans="1:23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 spans="1:23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 spans="1:23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 spans="1:23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 spans="1:23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 spans="1:23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 spans="1:23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 spans="1:23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 spans="1:23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 spans="1:23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 spans="1:23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 spans="1:23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 spans="1:23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 spans="1:23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 spans="1:23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 spans="1:23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 spans="1:23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 spans="1:23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 spans="1:23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 spans="1:23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 spans="1:23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 spans="1:23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 spans="1:23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 spans="1:23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 spans="1:23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 spans="1:23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 spans="1:23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 spans="1:23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 spans="1:23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 spans="1:23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 spans="1:23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 spans="1:23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 spans="1:23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 spans="1:23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 spans="1:23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 spans="1:23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 spans="1:23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 spans="1:23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 spans="1:23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 spans="1:23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 spans="1:23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 spans="1:23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 spans="1:23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 spans="1:23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 spans="1:23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 spans="1:23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 spans="1:23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 spans="1:23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 spans="1:23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 spans="1:23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 spans="1:23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 spans="1:23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 spans="1:23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 spans="1:23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 spans="1:23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 spans="1:23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 spans="1:23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 spans="1:23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 spans="1:23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 spans="1:23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 spans="1:23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 spans="1:23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 spans="1:23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 spans="1:23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 spans="1:23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 spans="1:23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 spans="1:23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 spans="1:23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 spans="1:23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 spans="1:23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 spans="1:23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 spans="1:23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 spans="1:23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 spans="1:23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 spans="1:23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 spans="1:23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 spans="1:23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 spans="1:23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 spans="1:23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 spans="1:23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 spans="1:23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 spans="1:23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 spans="1:23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 spans="1:23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 spans="1:23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 spans="1:23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 spans="1:23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 spans="1:23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 spans="1:23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 spans="1:23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 spans="1:23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 spans="1:23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 spans="1:23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 spans="1:23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 spans="1:23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 spans="1:23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 spans="1:23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 spans="1:23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 spans="1:23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 spans="1:23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 spans="1:23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 spans="1:23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 spans="1:23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 spans="1:23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 spans="1:23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 spans="1:23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 spans="1:23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 spans="1:23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 spans="1:23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 spans="1:23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 spans="1:23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 spans="1:23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 spans="1:23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 spans="1:23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 spans="1:23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 spans="1:23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 spans="1:23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 spans="1:23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 spans="1:23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 spans="1:23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 spans="1:23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 spans="1:23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 spans="1:23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 spans="1:23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 spans="1:23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 spans="1:23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 spans="1:23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 spans="1:23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 spans="1:23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 spans="1:23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 spans="1:23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 spans="1:23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 spans="1:23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 spans="1:23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 spans="1:23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 spans="1:23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 spans="1:23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 spans="1:23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 spans="1:23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 spans="1:23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 spans="1:23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 spans="1:23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 spans="1:23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 spans="1:23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 spans="1:23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 spans="1:23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 spans="1:23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 spans="1:23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 spans="1:23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 spans="1:23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 spans="1:23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 spans="1:23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 spans="1:23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 spans="1:23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 spans="1:23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 spans="1:23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 spans="1:23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 spans="1:23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 spans="1:23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 spans="1:23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 spans="1:23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 spans="1:23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 spans="1:23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 spans="1:23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 spans="1:23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 spans="1:23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 spans="1:23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 spans="1:23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 spans="1:23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 spans="1:23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 spans="1:23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 spans="1:23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 spans="1:23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 spans="1:23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 spans="1:23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 spans="1:23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 spans="1:23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 spans="1:23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 spans="1:23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 spans="1:23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 spans="1:23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 spans="1:23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 spans="1:23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 spans="1:23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 spans="1:23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 spans="1:23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 spans="1:23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 spans="1:23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 spans="1:23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 spans="1:23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 spans="1:23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 spans="1:23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 spans="1:23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 spans="1:23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 spans="1:23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 spans="1:23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 spans="1:23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 spans="1:23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 spans="1:23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 spans="1:23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 spans="1:23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 spans="1:23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 spans="1:23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 spans="1:23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 spans="1:23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 spans="1:23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 spans="1:23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 spans="1:23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 spans="1:23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 spans="1:23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 spans="1:23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 spans="1:23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 spans="1:23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 spans="1:23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 spans="1:23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 spans="1:23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 spans="1:23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 spans="1:23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 spans="1:23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 spans="1:23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 spans="1:23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 spans="1:23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 spans="1:23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 spans="1:23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 spans="1:23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 spans="1:23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 spans="1:23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 spans="1:23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 spans="1:23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 spans="1:23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 spans="1:23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 spans="1:23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 spans="1:23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 spans="1:23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 spans="1:23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 spans="1:23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 spans="1:23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 spans="1:23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 spans="1:23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 spans="1:23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 spans="1:23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 spans="1:23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 spans="1:23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 spans="1:23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 spans="1:23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 spans="1:23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 spans="1:23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 spans="1:23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 spans="1:23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 spans="1:23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 spans="1:23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 spans="1:23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 spans="1:23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 spans="1:23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 spans="1:23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 spans="1:23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 spans="1:23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 spans="1:23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 spans="1:23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 spans="1:23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 spans="1:23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 spans="1:23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 spans="1:23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 spans="1:23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 spans="1:23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 spans="1:23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 spans="1:23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 spans="1:23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 spans="1:23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 spans="1:23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 spans="1:23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 spans="1:23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 spans="1:23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 spans="1:23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 spans="1:23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 spans="1:23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 spans="1:23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 spans="1:23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 spans="1:23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 spans="1:23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 spans="1:23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 spans="1:23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 spans="1:23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 spans="1:23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 spans="1:23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 spans="1:23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 spans="1:23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 spans="1:23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 spans="1:23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 spans="1:23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 spans="1:23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 spans="1:23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 spans="1:23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 spans="1:23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 spans="1:23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 spans="1:23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 spans="1:23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 spans="1:23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 spans="1:23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 spans="1:23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 spans="1:23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 spans="1:23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 spans="1:23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 spans="1:23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 spans="1:23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 spans="1:23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 spans="1:23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 spans="1:23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 spans="1:23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 spans="1:23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 spans="1:23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 spans="1:23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 spans="1:23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 spans="1:23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 spans="1:23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 spans="1:23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 spans="1:23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 spans="1:23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 spans="1:23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 spans="1:23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 spans="1:23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 spans="1:23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 spans="1:23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 spans="1:23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 spans="1:23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 spans="1:23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 spans="1:23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 spans="1:23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 spans="1:23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 spans="1:23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 spans="1:23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 spans="1:23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 spans="1:23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 spans="1:23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 spans="1:23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 spans="1:23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 spans="1:23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 spans="1:23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 spans="1:23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 spans="1:23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 spans="1:23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 spans="1:23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 spans="1:23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 spans="1:23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 spans="1:23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 spans="1:23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 spans="1:23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 spans="1:23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 spans="1:23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 spans="1:23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 spans="1:23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 spans="1:23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 spans="1:23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 spans="1:23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 spans="1:23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 spans="1:23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 spans="1:23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 spans="1:23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 spans="1:23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 spans="1:23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 spans="1:23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 spans="1:23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 spans="1:23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 spans="1:23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 spans="1:23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 spans="1:23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 spans="1:23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 spans="1:23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 spans="1:23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 spans="1:23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 spans="1:23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 spans="1:23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 spans="1:23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 spans="1:23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 spans="1:23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 spans="1:23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 spans="1:23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 spans="1:23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 spans="1:23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 spans="1:23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 spans="1:23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 spans="1:23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 spans="1:23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 spans="1:23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 spans="1:23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 spans="1:23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 spans="1:23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 spans="1:23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 spans="1:23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 spans="1:23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 spans="1:23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 spans="1:23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 spans="1:23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 spans="1:23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 spans="1:23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 spans="1:23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 spans="1:23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 spans="1:23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 spans="1:23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 spans="1:23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 spans="1:23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 spans="1:23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 spans="1:23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 spans="1:23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 spans="1:23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 spans="1:23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 spans="1:23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 spans="1:23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 spans="1:23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 spans="1:23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 spans="1:23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 spans="1:23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 spans="1:23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 spans="1:23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 spans="1:23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 spans="1:23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 spans="1:23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 spans="1:23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 spans="1:23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 spans="1:23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 spans="1:23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 spans="1:23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 spans="1:23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 spans="1:23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 spans="1:23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 spans="1:23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 spans="1:23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 spans="1:23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 spans="1:23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 spans="1:23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 spans="1:23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 spans="1:23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 spans="1:23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 spans="1:23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 spans="1:23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 spans="1:23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 spans="1:23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 spans="1:23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 spans="1:23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 spans="1:23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 spans="1:23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 spans="1:23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 spans="1:23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 spans="1:23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 spans="1:23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 spans="1:23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 spans="1:23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 spans="1:23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 spans="1:23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 spans="1:23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 spans="1:23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 spans="1:23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 spans="1:23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 spans="1:23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 spans="1:23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 spans="1:23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 spans="1:23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 spans="1:23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 spans="1:23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 spans="1:23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 spans="1:23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 spans="1:23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 spans="1:23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 spans="1:23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 spans="1:23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 spans="1:23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 spans="1:23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 spans="1:23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 spans="1:23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 spans="1:23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 spans="1:23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 spans="1:23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 spans="1:23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 spans="1:23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 spans="1:23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 spans="1:23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 spans="1:23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 spans="1:23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 spans="1:23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 spans="1:23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 spans="1:23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 spans="1:23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 spans="1:23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 spans="1:23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 spans="1:23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 spans="1:23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 spans="1:23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 spans="1:23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 spans="1:23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 spans="1:23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 spans="1:23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 spans="1:23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 spans="1:23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 spans="1:23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 spans="1:23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 spans="1:23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 spans="1:23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 spans="1:23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 spans="1:23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 spans="1:23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 spans="1:23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 spans="1:23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 spans="1:23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 spans="1:23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 spans="1:23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 spans="1:23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 spans="1:23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 spans="1:23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 spans="1:23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 spans="1:23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 spans="1:23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 spans="1:23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 spans="1:23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 spans="1:23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 spans="1:23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 spans="1:23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 spans="1:23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 spans="1:23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 spans="1:23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 spans="1:23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 spans="1:23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 spans="1:23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 spans="1:23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 spans="1:23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 spans="1:23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 spans="1:23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 spans="1:23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 spans="1:23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 spans="1:23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 spans="1:23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 spans="1:23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 spans="1:23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 spans="1:23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 spans="1:23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 spans="1:23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 spans="1:23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 spans="1:23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 spans="1:23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 spans="1:23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 spans="1:23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 spans="1:23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 spans="1:23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 spans="1:23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 spans="1:23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 spans="1:23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 spans="1:23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 spans="1:23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 spans="1:23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 spans="1:23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 spans="1:23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 spans="1:23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 spans="1:23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 spans="1:23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 spans="1:23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 spans="1:23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 spans="1:23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 spans="1:23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 spans="1:23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 spans="1:23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 spans="1:23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 spans="1:23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 spans="1:23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 spans="1:23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 spans="1:23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 spans="1:23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 spans="1:23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 spans="1:23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 spans="1:23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 spans="1:23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 spans="1:23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 spans="1:23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 spans="1:23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 spans="1:23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 spans="1:23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 spans="1:23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 spans="1:23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 spans="1:23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 spans="1:23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 spans="1:23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 spans="1:23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 spans="1:23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 spans="1:23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 spans="1:23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 spans="1:23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 spans="1:23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 spans="1:23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 spans="1:23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 spans="1:23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 spans="1:23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 spans="1:23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</sheetData>
  <mergeCells count="25">
    <mergeCell ref="A5:H5"/>
    <mergeCell ref="E6:F6"/>
    <mergeCell ref="A8:H8"/>
    <mergeCell ref="C9:H9"/>
    <mergeCell ref="C10:H10"/>
    <mergeCell ref="C11:H11"/>
    <mergeCell ref="C12:H12"/>
    <mergeCell ref="E18:H18"/>
    <mergeCell ref="C19:E19"/>
    <mergeCell ref="F19:H19"/>
    <mergeCell ref="A25:B25"/>
    <mergeCell ref="C25:H25"/>
    <mergeCell ref="C13:H13"/>
    <mergeCell ref="C14:H14"/>
    <mergeCell ref="C15:H15"/>
    <mergeCell ref="A16:B18"/>
    <mergeCell ref="E16:H16"/>
    <mergeCell ref="E17:H17"/>
    <mergeCell ref="A19:B21"/>
    <mergeCell ref="A22:B22"/>
    <mergeCell ref="C22:H22"/>
    <mergeCell ref="A23:B23"/>
    <mergeCell ref="C23:H23"/>
    <mergeCell ref="A24:B24"/>
    <mergeCell ref="C24:H24"/>
  </mergeCells>
  <printOptions horizontalCentered="1"/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87"/>
  <sheetViews>
    <sheetView topLeftCell="A16" workbookViewId="0">
      <selection sqref="A1:H25"/>
    </sheetView>
  </sheetViews>
  <sheetFormatPr defaultColWidth="14.42578125" defaultRowHeight="15" customHeight="1"/>
  <cols>
    <col min="1" max="1" width="17.140625" style="110" customWidth="1"/>
    <col min="2" max="2" width="11.42578125" customWidth="1"/>
    <col min="3" max="3" width="11.5703125" customWidth="1"/>
    <col min="4" max="6" width="9" customWidth="1"/>
    <col min="7" max="7" width="22" customWidth="1"/>
    <col min="8" max="8" width="9.5703125" customWidth="1"/>
    <col min="9" max="26" width="8.7109375" customWidth="1"/>
  </cols>
  <sheetData>
    <row r="1" spans="1:26">
      <c r="A1" s="75" t="s">
        <v>0</v>
      </c>
      <c r="B1" s="15"/>
      <c r="C1" s="15"/>
      <c r="D1" s="15"/>
      <c r="E1" s="15"/>
      <c r="F1" s="15"/>
      <c r="G1" s="15"/>
      <c r="H1" s="16" t="s">
        <v>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5.75">
      <c r="A2" s="10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33" customHeight="1">
      <c r="A3" s="154" t="s">
        <v>31</v>
      </c>
      <c r="B3" s="126"/>
      <c r="C3" s="126"/>
      <c r="D3" s="126"/>
      <c r="E3" s="126"/>
      <c r="F3" s="126"/>
      <c r="G3" s="126"/>
      <c r="H3" s="124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31.5" customHeight="1">
      <c r="A4" s="155" t="s">
        <v>32</v>
      </c>
      <c r="B4" s="154"/>
      <c r="C4" s="124"/>
      <c r="D4" s="157" t="s">
        <v>33</v>
      </c>
      <c r="E4" s="158"/>
      <c r="F4" s="158"/>
      <c r="G4" s="132"/>
      <c r="H4" s="19" t="s">
        <v>34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31.5" customHeight="1">
      <c r="A5" s="156"/>
      <c r="B5" s="20" t="s">
        <v>35</v>
      </c>
      <c r="C5" s="20" t="s">
        <v>36</v>
      </c>
      <c r="D5" s="135"/>
      <c r="E5" s="159"/>
      <c r="F5" s="159"/>
      <c r="G5" s="136"/>
      <c r="H5" s="21" t="s">
        <v>37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2.5" customHeight="1">
      <c r="A6" s="120">
        <v>45965</v>
      </c>
      <c r="B6" s="103" t="s">
        <v>188</v>
      </c>
      <c r="C6" s="104" t="s">
        <v>189</v>
      </c>
      <c r="D6" s="160" t="s">
        <v>193</v>
      </c>
      <c r="E6" s="161"/>
      <c r="F6" s="161"/>
      <c r="G6" s="162"/>
      <c r="H6" s="112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36.75" customHeight="1">
      <c r="A7" s="121"/>
      <c r="B7" s="105" t="s">
        <v>190</v>
      </c>
      <c r="C7" s="106" t="s">
        <v>191</v>
      </c>
      <c r="D7" s="148" t="s">
        <v>192</v>
      </c>
      <c r="E7" s="149"/>
      <c r="F7" s="149"/>
      <c r="G7" s="150"/>
      <c r="H7" s="113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39" customHeight="1">
      <c r="A8" s="121"/>
      <c r="B8" s="105"/>
      <c r="C8" s="106"/>
      <c r="D8" s="148" t="s">
        <v>200</v>
      </c>
      <c r="E8" s="149"/>
      <c r="F8" s="149"/>
      <c r="G8" s="150"/>
      <c r="H8" s="113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34.5" customHeight="1">
      <c r="A9" s="121" t="s">
        <v>202</v>
      </c>
      <c r="B9" s="111" t="s">
        <v>203</v>
      </c>
      <c r="C9" s="114" t="s">
        <v>203</v>
      </c>
      <c r="D9" s="151" t="s">
        <v>201</v>
      </c>
      <c r="E9" s="152"/>
      <c r="F9" s="152"/>
      <c r="G9" s="153"/>
      <c r="H9" s="113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30" customHeight="1">
      <c r="A10" s="121">
        <v>45969</v>
      </c>
      <c r="B10" s="105" t="s">
        <v>195</v>
      </c>
      <c r="C10" s="106" t="s">
        <v>199</v>
      </c>
      <c r="D10" s="148" t="s">
        <v>194</v>
      </c>
      <c r="E10" s="149"/>
      <c r="F10" s="149"/>
      <c r="G10" s="150"/>
      <c r="H10" s="113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38.25" customHeight="1">
      <c r="A11" s="121"/>
      <c r="B11" s="105"/>
      <c r="C11" s="106"/>
      <c r="D11" s="148" t="s">
        <v>204</v>
      </c>
      <c r="E11" s="149"/>
      <c r="F11" s="149"/>
      <c r="G11" s="150"/>
      <c r="H11" s="113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22.5" customHeight="1">
      <c r="A12" s="122"/>
      <c r="B12" s="105" t="s">
        <v>196</v>
      </c>
      <c r="C12" s="106" t="s">
        <v>197</v>
      </c>
      <c r="D12" s="148" t="s">
        <v>198</v>
      </c>
      <c r="E12" s="149"/>
      <c r="F12" s="149"/>
      <c r="G12" s="150"/>
      <c r="H12" s="113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22.5" customHeight="1">
      <c r="A13" s="147" t="s">
        <v>38</v>
      </c>
      <c r="B13" s="126"/>
      <c r="C13" s="126"/>
      <c r="D13" s="126"/>
      <c r="E13" s="126"/>
      <c r="F13" s="126"/>
      <c r="G13" s="124"/>
      <c r="H13" s="22">
        <f>SUM(H6:H12)</f>
        <v>0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 spans="1:26" ht="15.75" customHeight="1">
      <c r="A14" s="108" t="s">
        <v>39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spans="1:26" ht="15.75" customHeight="1">
      <c r="A15" s="108" t="s">
        <v>40</v>
      </c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spans="1:26" ht="15.75" customHeight="1">
      <c r="A16" s="109" t="s">
        <v>41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26" ht="15.75" customHeight="1">
      <c r="A17" s="68" t="s">
        <v>42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spans="1:26" ht="15.75" customHeight="1">
      <c r="A18" s="68" t="s">
        <v>43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spans="1:26" ht="15.75" customHeight="1">
      <c r="A19" s="68" t="s">
        <v>44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spans="1:26" ht="15.75" customHeight="1">
      <c r="A20" s="68" t="s">
        <v>45</v>
      </c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spans="1:26" ht="15.75" customHeight="1">
      <c r="A21" s="68" t="s">
        <v>46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spans="1:26" ht="15.75" customHeight="1">
      <c r="A22" s="68" t="s">
        <v>47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spans="1:26" ht="15.75" customHeight="1">
      <c r="A23" s="68" t="s">
        <v>48</v>
      </c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>
      <c r="A24" s="68" t="s">
        <v>49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>
      <c r="A25" s="68" t="s">
        <v>50</v>
      </c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>
      <c r="A26" s="10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>
      <c r="A27" s="10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>
      <c r="A28" s="10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>
      <c r="A29" s="10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>
      <c r="A30" s="10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>
      <c r="A31" s="10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>
      <c r="A32" s="10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>
      <c r="A33" s="10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>
      <c r="A34" s="10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>
      <c r="A35" s="10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>
      <c r="A36" s="10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>
      <c r="A37" s="10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>
      <c r="A38" s="10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>
      <c r="A39" s="10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>
      <c r="A40" s="10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>
      <c r="A41" s="10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>
      <c r="A42" s="10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>
      <c r="A43" s="10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>
      <c r="A44" s="10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>
      <c r="A45" s="10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>
      <c r="A46" s="10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>
      <c r="A47" s="10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>
      <c r="A48" s="10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>
      <c r="A49" s="10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0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0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0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0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0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0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0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0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0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0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0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0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0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0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0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0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0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0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0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0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0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0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0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0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0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0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0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0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0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0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0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0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0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0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0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0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0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0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0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0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0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0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0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0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0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0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0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0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0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0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0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0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0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0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0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0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0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0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0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0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0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0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0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0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0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0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0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0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0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0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0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0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0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0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0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0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0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0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0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0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0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0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0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0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0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0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0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0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0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0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0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0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0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0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0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0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0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0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0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0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0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0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0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0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0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0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0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0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0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0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0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0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0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0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0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0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0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0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0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0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0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0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0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0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0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0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0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0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0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0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0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0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0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0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0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0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0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0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0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0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0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0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0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0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0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0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0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0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0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0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0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0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0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0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0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0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0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0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0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0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0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0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0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0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0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0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0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0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0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0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0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0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0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0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0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0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0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0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0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0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0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0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0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0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0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0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0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0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0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0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0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0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0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0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0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0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0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0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0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0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0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0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0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0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0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0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0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0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0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0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0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0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0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0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0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0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0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0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0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0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0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0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0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0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0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0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0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0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0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0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0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0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0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0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0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0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0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0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0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0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0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0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0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0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0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0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0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0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0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0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0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0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0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0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0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0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0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0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0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0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0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0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0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0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0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0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0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0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0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0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0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0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0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0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0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0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0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0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0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0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0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0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0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0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0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0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0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0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0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0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0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0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0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0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0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0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0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0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0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0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0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0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0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0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0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0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0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0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0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0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0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0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0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0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0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0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0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0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0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0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0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0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0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0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0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0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0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0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0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0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0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0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0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0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0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0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0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0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0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0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0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0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0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0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0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0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0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0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0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0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0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0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0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0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0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0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0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0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0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0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0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0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0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0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0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0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0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0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0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0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0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0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0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0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0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0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0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0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0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0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0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0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0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0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0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0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0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0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0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0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0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0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0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0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0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0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0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0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0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0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0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0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0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0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0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0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0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0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0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0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0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0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0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0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0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0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0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0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0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0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0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0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0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0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0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0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0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0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0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0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0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0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0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0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0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0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0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0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0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0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0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0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0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0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0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0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0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0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0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0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0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0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0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0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0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0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0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0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0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0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0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0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0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0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0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0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0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0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0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0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0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0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0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0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0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0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0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0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0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0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0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0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0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0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0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0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0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0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0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0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0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0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0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0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0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0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0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0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0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0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0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0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0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0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0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0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0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0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0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0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0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0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0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0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0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0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0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0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0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0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0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0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0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0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0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0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0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0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0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0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0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0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0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0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0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0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0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0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0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0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0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0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0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0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0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0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0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0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0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0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0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0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0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0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0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0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0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0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0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0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0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0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0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0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0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0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0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0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0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0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0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0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0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0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0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0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0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0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0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0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0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0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0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0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0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0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0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0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0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0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0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0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0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0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0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0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0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0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0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0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0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0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0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0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0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0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0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0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0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0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0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0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0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0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0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0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0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0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0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0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0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0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0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0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0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0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0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0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0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0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0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0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0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0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0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0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0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0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0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0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0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0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0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0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0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0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0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0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0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0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0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0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0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0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0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0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0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0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0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0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0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0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0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0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0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0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0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0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0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0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0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0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0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0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0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0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0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0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0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0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0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0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0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0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0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0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0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0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0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0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0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0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0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0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0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0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0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0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0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0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0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0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0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0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0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0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0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0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0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0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0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0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0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0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0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0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0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0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0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0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0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0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0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0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0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0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0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0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0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0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0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0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0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0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0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0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0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0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0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0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0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0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0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0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0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0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0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0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0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0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0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0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0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0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0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0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0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0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0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0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0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0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0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0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0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0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0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0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0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0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0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0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0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0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0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0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0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0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0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0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0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0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0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0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0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0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0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0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0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0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0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0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0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0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0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0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0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0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0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0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0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0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0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0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0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0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0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0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0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0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0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0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0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0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0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0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0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0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0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0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0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0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0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0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0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0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0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0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0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0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0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0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0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0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0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0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0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0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0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0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0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0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0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0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0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0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0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0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0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0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0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0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0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0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0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0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0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0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0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0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0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0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0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0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0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0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0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0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0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0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0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0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0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0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0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0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0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0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0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0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0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0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0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0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0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0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0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0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0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0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0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0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0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0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0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0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0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0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0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0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0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0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0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0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0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0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0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0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0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0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0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0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0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0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0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0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0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0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0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0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0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0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0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0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0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0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0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0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0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0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0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0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0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0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0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0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0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0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</sheetData>
  <mergeCells count="12">
    <mergeCell ref="A3:H3"/>
    <mergeCell ref="A4:A5"/>
    <mergeCell ref="B4:C4"/>
    <mergeCell ref="D4:G5"/>
    <mergeCell ref="D6:G6"/>
    <mergeCell ref="A13:G13"/>
    <mergeCell ref="D10:G10"/>
    <mergeCell ref="D12:G12"/>
    <mergeCell ref="D7:G7"/>
    <mergeCell ref="D8:G8"/>
    <mergeCell ref="D9:G9"/>
    <mergeCell ref="D11:G11"/>
  </mergeCells>
  <printOptions horizontalCentered="1"/>
  <pageMargins left="0.7" right="0.7" top="0.75" bottom="0.75" header="0.3" footer="0.3"/>
  <pageSetup paperSize="9" scale="8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1000"/>
  <sheetViews>
    <sheetView topLeftCell="A25" workbookViewId="0">
      <selection sqref="A1:I34"/>
    </sheetView>
  </sheetViews>
  <sheetFormatPr defaultColWidth="14.42578125" defaultRowHeight="15" customHeight="1"/>
  <cols>
    <col min="1" max="1" width="24.7109375" customWidth="1"/>
    <col min="2" max="2" width="11.7109375" customWidth="1"/>
    <col min="3" max="3" width="7" customWidth="1"/>
    <col min="4" max="4" width="17.28515625" customWidth="1"/>
    <col min="5" max="5" width="7.7109375" customWidth="1"/>
    <col min="6" max="6" width="21.7109375" customWidth="1"/>
    <col min="7" max="7" width="10" customWidth="1"/>
    <col min="8" max="8" width="7.5703125" customWidth="1"/>
    <col min="9" max="9" width="12.85546875" customWidth="1"/>
    <col min="10" max="26" width="8.7109375" customWidth="1"/>
  </cols>
  <sheetData>
    <row r="1" spans="1:26">
      <c r="A1" s="15" t="s">
        <v>0</v>
      </c>
      <c r="B1" s="15"/>
      <c r="C1" s="15"/>
      <c r="D1" s="15"/>
      <c r="E1" s="15"/>
      <c r="F1" s="15"/>
      <c r="G1" s="15"/>
      <c r="H1" s="15"/>
      <c r="I1" s="16" t="s">
        <v>1</v>
      </c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>
      <c r="A2" s="15"/>
      <c r="B2" s="15"/>
      <c r="C2" s="15"/>
      <c r="D2" s="15"/>
      <c r="E2" s="15"/>
      <c r="F2" s="15"/>
      <c r="G2" s="15"/>
      <c r="H2" s="15"/>
      <c r="I2" s="16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2.5" customHeight="1">
      <c r="A3" s="141" t="s">
        <v>51</v>
      </c>
      <c r="B3" s="126"/>
      <c r="C3" s="126"/>
      <c r="D3" s="126"/>
      <c r="E3" s="126"/>
      <c r="F3" s="126"/>
      <c r="G3" s="126"/>
      <c r="H3" s="126"/>
      <c r="I3" s="124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22.5" customHeight="1">
      <c r="A4" s="141" t="s">
        <v>52</v>
      </c>
      <c r="B4" s="126"/>
      <c r="C4" s="126"/>
      <c r="D4" s="126"/>
      <c r="E4" s="126"/>
      <c r="F4" s="126"/>
      <c r="G4" s="126"/>
      <c r="H4" s="126"/>
      <c r="I4" s="124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1.5" customHeight="1">
      <c r="A5" s="26" t="s">
        <v>53</v>
      </c>
      <c r="B5" s="168" t="s">
        <v>54</v>
      </c>
      <c r="C5" s="124"/>
      <c r="D5" s="27" t="s">
        <v>55</v>
      </c>
      <c r="E5" s="141" t="s">
        <v>56</v>
      </c>
      <c r="F5" s="126"/>
      <c r="G5" s="124"/>
      <c r="H5" s="141" t="s">
        <v>17</v>
      </c>
      <c r="I5" s="124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22.5" customHeight="1">
      <c r="A6" s="172" t="s">
        <v>19</v>
      </c>
      <c r="B6" s="175" t="s">
        <v>57</v>
      </c>
      <c r="C6" s="124"/>
      <c r="D6" s="29"/>
      <c r="E6" s="30" t="s">
        <v>58</v>
      </c>
      <c r="F6" s="31">
        <v>0.85</v>
      </c>
      <c r="G6" s="32" t="s">
        <v>59</v>
      </c>
      <c r="H6" s="174">
        <f t="shared" ref="H6:H9" si="0">D6*F6</f>
        <v>0</v>
      </c>
      <c r="I6" s="124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37.5" customHeight="1">
      <c r="A7" s="173"/>
      <c r="B7" s="175" t="s">
        <v>60</v>
      </c>
      <c r="C7" s="124"/>
      <c r="D7" s="29"/>
      <c r="E7" s="30" t="s">
        <v>58</v>
      </c>
      <c r="F7" s="31">
        <v>0.75</v>
      </c>
      <c r="G7" s="32" t="s">
        <v>59</v>
      </c>
      <c r="H7" s="170">
        <f t="shared" si="0"/>
        <v>0</v>
      </c>
      <c r="I7" s="124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22.5" customHeight="1">
      <c r="A8" s="172" t="s">
        <v>20</v>
      </c>
      <c r="B8" s="175" t="s">
        <v>57</v>
      </c>
      <c r="C8" s="124"/>
      <c r="D8" s="29"/>
      <c r="E8" s="30" t="s">
        <v>58</v>
      </c>
      <c r="F8" s="31">
        <v>0.55000000000000004</v>
      </c>
      <c r="G8" s="32" t="s">
        <v>59</v>
      </c>
      <c r="H8" s="170">
        <f t="shared" si="0"/>
        <v>0</v>
      </c>
      <c r="I8" s="124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7.5" customHeight="1">
      <c r="A9" s="173"/>
      <c r="B9" s="175" t="s">
        <v>60</v>
      </c>
      <c r="C9" s="124"/>
      <c r="D9" s="33"/>
      <c r="E9" s="34" t="s">
        <v>58</v>
      </c>
      <c r="F9" s="35">
        <v>0.45</v>
      </c>
      <c r="G9" s="36" t="s">
        <v>59</v>
      </c>
      <c r="H9" s="170">
        <f t="shared" si="0"/>
        <v>0</v>
      </c>
      <c r="I9" s="124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22.5" customHeight="1">
      <c r="A10" s="163" t="s">
        <v>38</v>
      </c>
      <c r="B10" s="126"/>
      <c r="C10" s="126"/>
      <c r="D10" s="126"/>
      <c r="E10" s="126"/>
      <c r="F10" s="126"/>
      <c r="G10" s="124"/>
      <c r="H10" s="170">
        <f>SUM(H6:I9)</f>
        <v>0</v>
      </c>
      <c r="I10" s="124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22.5" customHeight="1">
      <c r="A11" s="141" t="s">
        <v>61</v>
      </c>
      <c r="B11" s="126"/>
      <c r="C11" s="126"/>
      <c r="D11" s="126"/>
      <c r="E11" s="126"/>
      <c r="F11" s="126"/>
      <c r="G11" s="126"/>
      <c r="H11" s="126"/>
      <c r="I11" s="124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22.5" customHeight="1">
      <c r="A12" s="171" t="s">
        <v>62</v>
      </c>
      <c r="B12" s="126"/>
      <c r="C12" s="126"/>
      <c r="D12" s="126"/>
      <c r="E12" s="126"/>
      <c r="F12" s="126"/>
      <c r="G12" s="124"/>
      <c r="H12" s="34" t="s">
        <v>58</v>
      </c>
      <c r="I12" s="37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22.5" customHeight="1">
      <c r="A13" s="125" t="s">
        <v>63</v>
      </c>
      <c r="B13" s="126"/>
      <c r="C13" s="126"/>
      <c r="D13" s="126"/>
      <c r="E13" s="126"/>
      <c r="F13" s="126"/>
      <c r="G13" s="124"/>
      <c r="H13" s="34" t="s">
        <v>58</v>
      </c>
      <c r="I13" s="37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22.5" customHeight="1">
      <c r="A14" s="171" t="s">
        <v>205</v>
      </c>
      <c r="B14" s="126"/>
      <c r="C14" s="126"/>
      <c r="D14" s="126"/>
      <c r="E14" s="126"/>
      <c r="F14" s="126"/>
      <c r="G14" s="124"/>
      <c r="H14" s="34" t="s">
        <v>58</v>
      </c>
      <c r="I14" s="37">
        <v>45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22.5" customHeight="1">
      <c r="A15" s="125" t="s">
        <v>64</v>
      </c>
      <c r="B15" s="126"/>
      <c r="C15" s="126"/>
      <c r="D15" s="126"/>
      <c r="E15" s="126"/>
      <c r="F15" s="126"/>
      <c r="G15" s="124"/>
      <c r="H15" s="34" t="s">
        <v>58</v>
      </c>
      <c r="I15" s="37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22.5" customHeight="1">
      <c r="A16" s="171" t="s">
        <v>206</v>
      </c>
      <c r="B16" s="126"/>
      <c r="C16" s="126"/>
      <c r="D16" s="126"/>
      <c r="E16" s="126"/>
      <c r="F16" s="126"/>
      <c r="G16" s="124"/>
      <c r="H16" s="34" t="s">
        <v>58</v>
      </c>
      <c r="I16" s="37">
        <v>363.28</v>
      </c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22.5" customHeight="1">
      <c r="A17" s="163" t="s">
        <v>38</v>
      </c>
      <c r="B17" s="126"/>
      <c r="C17" s="126"/>
      <c r="D17" s="126"/>
      <c r="E17" s="126"/>
      <c r="F17" s="126"/>
      <c r="G17" s="124"/>
      <c r="H17" s="4" t="s">
        <v>58</v>
      </c>
      <c r="I17" s="38">
        <f>I12+I13+I14+I15+I16</f>
        <v>408.28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22.5" customHeight="1">
      <c r="A18" s="165" t="s">
        <v>65</v>
      </c>
      <c r="B18" s="158"/>
      <c r="C18" s="158"/>
      <c r="D18" s="158"/>
      <c r="E18" s="132"/>
      <c r="F18" s="165" t="s">
        <v>65</v>
      </c>
      <c r="G18" s="158"/>
      <c r="H18" s="158"/>
      <c r="I18" s="132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22.5" customHeight="1">
      <c r="A19" s="166" t="s">
        <v>66</v>
      </c>
      <c r="B19" s="159"/>
      <c r="C19" s="159"/>
      <c r="D19" s="159"/>
      <c r="E19" s="136"/>
      <c r="F19" s="166" t="s">
        <v>67</v>
      </c>
      <c r="G19" s="159"/>
      <c r="H19" s="159"/>
      <c r="I19" s="136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22.5" customHeight="1">
      <c r="A20" s="167" t="s">
        <v>68</v>
      </c>
      <c r="B20" s="126"/>
      <c r="C20" s="126"/>
      <c r="D20" s="126"/>
      <c r="E20" s="124"/>
      <c r="F20" s="167" t="s">
        <v>68</v>
      </c>
      <c r="G20" s="126"/>
      <c r="H20" s="126"/>
      <c r="I20" s="124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34.5" customHeight="1">
      <c r="A21" s="4" t="s">
        <v>69</v>
      </c>
      <c r="B21" s="39" t="s">
        <v>70</v>
      </c>
      <c r="C21" s="39" t="s">
        <v>71</v>
      </c>
      <c r="D21" s="168" t="s">
        <v>58</v>
      </c>
      <c r="E21" s="124"/>
      <c r="F21" s="4" t="s">
        <v>69</v>
      </c>
      <c r="G21" s="39" t="s">
        <v>70</v>
      </c>
      <c r="H21" s="39" t="s">
        <v>71</v>
      </c>
      <c r="I21" s="40" t="s">
        <v>58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22.5" customHeight="1">
      <c r="A22" s="41" t="s">
        <v>72</v>
      </c>
      <c r="B22" s="42"/>
      <c r="C22" s="43"/>
      <c r="D22" s="168"/>
      <c r="E22" s="124"/>
      <c r="F22" s="44" t="s">
        <v>73</v>
      </c>
      <c r="G22" s="40"/>
      <c r="H22" s="43"/>
      <c r="I22" s="4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22.5" customHeight="1">
      <c r="A23" s="41" t="s">
        <v>74</v>
      </c>
      <c r="B23" s="42"/>
      <c r="C23" s="43"/>
      <c r="D23" s="168"/>
      <c r="E23" s="124"/>
      <c r="F23" s="44" t="s">
        <v>74</v>
      </c>
      <c r="G23" s="40"/>
      <c r="H23" s="43"/>
      <c r="I23" s="4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22.5" customHeight="1">
      <c r="A24" s="46" t="s">
        <v>75</v>
      </c>
      <c r="B24" s="47"/>
      <c r="C24" s="48"/>
      <c r="D24" s="168"/>
      <c r="E24" s="124"/>
      <c r="F24" s="49" t="s">
        <v>75</v>
      </c>
      <c r="G24" s="40"/>
      <c r="H24" s="43"/>
      <c r="I24" s="50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22.5" customHeight="1">
      <c r="A25" s="26" t="s">
        <v>38</v>
      </c>
      <c r="B25" s="42"/>
      <c r="C25" s="43"/>
      <c r="D25" s="169">
        <f>SUM(D22:E24)</f>
        <v>0</v>
      </c>
      <c r="E25" s="124"/>
      <c r="F25" s="51" t="s">
        <v>38</v>
      </c>
      <c r="G25" s="40"/>
      <c r="H25" s="43"/>
      <c r="I25" s="52">
        <f>SUM(I22:I24)</f>
        <v>0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24.75" customHeight="1">
      <c r="A26" s="49" t="s">
        <v>76</v>
      </c>
      <c r="B26" s="53"/>
      <c r="C26" s="54"/>
      <c r="D26" s="54"/>
      <c r="E26" s="55"/>
      <c r="F26" s="49" t="s">
        <v>77</v>
      </c>
      <c r="G26" s="53"/>
      <c r="H26" s="54"/>
      <c r="I26" s="5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24.75" customHeight="1">
      <c r="A27" s="56" t="s">
        <v>78</v>
      </c>
      <c r="B27" s="1" t="s">
        <v>79</v>
      </c>
      <c r="C27" s="3"/>
      <c r="D27" s="3"/>
      <c r="E27" s="57"/>
      <c r="F27" s="56" t="s">
        <v>78</v>
      </c>
      <c r="G27" s="1" t="s">
        <v>80</v>
      </c>
      <c r="H27" s="3"/>
      <c r="I27" s="58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1.25" customHeight="1">
      <c r="A28" s="59"/>
      <c r="B28" s="60"/>
      <c r="C28" s="61"/>
      <c r="D28" s="61"/>
      <c r="E28" s="62"/>
      <c r="F28" s="59"/>
      <c r="G28" s="60"/>
      <c r="H28" s="61"/>
      <c r="I28" s="62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24.75" customHeight="1">
      <c r="A29" s="63" t="s">
        <v>81</v>
      </c>
      <c r="B29" s="25"/>
      <c r="C29" s="25"/>
      <c r="D29" s="25"/>
      <c r="E29" s="64"/>
      <c r="F29" s="63" t="s">
        <v>81</v>
      </c>
      <c r="G29" s="25"/>
      <c r="H29" s="25"/>
      <c r="I29" s="64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24.75" customHeight="1">
      <c r="A30" s="56" t="s">
        <v>82</v>
      </c>
      <c r="B30" s="65"/>
      <c r="C30" s="66"/>
      <c r="D30" s="66"/>
      <c r="E30" s="67"/>
      <c r="F30" s="56" t="s">
        <v>83</v>
      </c>
      <c r="G30" s="65"/>
      <c r="H30" s="66"/>
      <c r="I30" s="67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24.75" customHeight="1">
      <c r="A31" s="59" t="s">
        <v>78</v>
      </c>
      <c r="B31" s="60" t="s">
        <v>79</v>
      </c>
      <c r="C31" s="61"/>
      <c r="D31" s="61"/>
      <c r="E31" s="62"/>
      <c r="F31" s="59" t="s">
        <v>78</v>
      </c>
      <c r="G31" s="60" t="s">
        <v>84</v>
      </c>
      <c r="H31" s="61"/>
      <c r="I31" s="62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24.75" customHeight="1">
      <c r="A32" s="141" t="s">
        <v>85</v>
      </c>
      <c r="B32" s="126"/>
      <c r="C32" s="124"/>
      <c r="D32" s="170"/>
      <c r="E32" s="124"/>
      <c r="F32" s="141" t="s">
        <v>86</v>
      </c>
      <c r="G32" s="126"/>
      <c r="H32" s="124"/>
      <c r="I32" s="52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4.75" customHeight="1">
      <c r="A33" s="163" t="s">
        <v>87</v>
      </c>
      <c r="B33" s="126"/>
      <c r="C33" s="126"/>
      <c r="D33" s="126"/>
      <c r="E33" s="126"/>
      <c r="F33" s="126"/>
      <c r="G33" s="124"/>
      <c r="H33" s="164">
        <f>H10+I17+D32+I32</f>
        <v>408.28</v>
      </c>
      <c r="I33" s="124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>
      <c r="A34" s="14" t="s">
        <v>29</v>
      </c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>
      <c r="A49" s="7"/>
      <c r="B49" s="7"/>
      <c r="C49" s="7"/>
      <c r="D49" s="7"/>
      <c r="E49" s="7"/>
      <c r="F49" s="7"/>
      <c r="G49" s="7"/>
      <c r="H49" s="7"/>
      <c r="I49" s="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40">
    <mergeCell ref="H7:I7"/>
    <mergeCell ref="H8:I8"/>
    <mergeCell ref="H9:I9"/>
    <mergeCell ref="H10:I10"/>
    <mergeCell ref="A3:I3"/>
    <mergeCell ref="A4:I4"/>
    <mergeCell ref="B5:C5"/>
    <mergeCell ref="E5:G5"/>
    <mergeCell ref="H5:I5"/>
    <mergeCell ref="A6:A7"/>
    <mergeCell ref="H6:I6"/>
    <mergeCell ref="B6:C6"/>
    <mergeCell ref="B7:C7"/>
    <mergeCell ref="A8:A9"/>
    <mergeCell ref="B8:C8"/>
    <mergeCell ref="B9:C9"/>
    <mergeCell ref="A10:G10"/>
    <mergeCell ref="A11:I11"/>
    <mergeCell ref="A12:G12"/>
    <mergeCell ref="A13:G13"/>
    <mergeCell ref="A14:G14"/>
    <mergeCell ref="A15:G15"/>
    <mergeCell ref="A16:G16"/>
    <mergeCell ref="A17:G17"/>
    <mergeCell ref="F18:I18"/>
    <mergeCell ref="D23:E23"/>
    <mergeCell ref="A33:G33"/>
    <mergeCell ref="H33:I33"/>
    <mergeCell ref="A18:E18"/>
    <mergeCell ref="A19:E19"/>
    <mergeCell ref="F19:I19"/>
    <mergeCell ref="A20:E20"/>
    <mergeCell ref="F20:I20"/>
    <mergeCell ref="D21:E21"/>
    <mergeCell ref="D22:E22"/>
    <mergeCell ref="D24:E24"/>
    <mergeCell ref="D25:E25"/>
    <mergeCell ref="A32:C32"/>
    <mergeCell ref="D32:E32"/>
    <mergeCell ref="F32:H32"/>
  </mergeCells>
  <printOptions horizontalCentered="1"/>
  <pageMargins left="0.7" right="0.7" top="0.75" bottom="0.75" header="0.3" footer="0.3"/>
  <pageSetup paperSize="9" scale="72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0"/>
  <sheetViews>
    <sheetView topLeftCell="A22" workbookViewId="0">
      <selection sqref="A1:H24"/>
    </sheetView>
  </sheetViews>
  <sheetFormatPr defaultColWidth="14.42578125" defaultRowHeight="15" customHeight="1"/>
  <cols>
    <col min="1" max="1" width="34.7109375" customWidth="1"/>
    <col min="2" max="4" width="5.7109375" customWidth="1"/>
    <col min="5" max="5" width="34.7109375" customWidth="1"/>
    <col min="6" max="6" width="4.140625" customWidth="1"/>
    <col min="7" max="8" width="5.7109375" customWidth="1"/>
    <col min="9" max="26" width="8.7109375" customWidth="1"/>
  </cols>
  <sheetData>
    <row r="1" spans="1:26" ht="12.75" customHeight="1">
      <c r="A1" s="15" t="s">
        <v>0</v>
      </c>
      <c r="B1" s="15"/>
      <c r="C1" s="15"/>
      <c r="D1" s="15"/>
      <c r="E1" s="15"/>
      <c r="F1" s="15"/>
      <c r="G1" s="15"/>
      <c r="H1" s="16" t="s">
        <v>1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2.75" customHeight="1">
      <c r="A2" s="15"/>
      <c r="B2" s="15"/>
      <c r="C2" s="15"/>
      <c r="D2" s="15"/>
      <c r="E2" s="15"/>
      <c r="F2" s="15"/>
      <c r="G2" s="15"/>
      <c r="H2" s="16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ht="22.5" customHeight="1">
      <c r="A3" s="141" t="s">
        <v>88</v>
      </c>
      <c r="B3" s="126"/>
      <c r="C3" s="126"/>
      <c r="D3" s="126"/>
      <c r="E3" s="126"/>
      <c r="F3" s="126"/>
      <c r="G3" s="126"/>
      <c r="H3" s="1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spans="1:26" ht="19.5" customHeight="1">
      <c r="A4" s="187" t="s">
        <v>89</v>
      </c>
      <c r="B4" s="158"/>
      <c r="C4" s="158"/>
      <c r="D4" s="158"/>
      <c r="E4" s="187" t="s">
        <v>89</v>
      </c>
      <c r="F4" s="158"/>
      <c r="G4" s="158"/>
      <c r="H4" s="132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  <c r="Z4" s="68"/>
    </row>
    <row r="5" spans="1:26" ht="19.5" customHeight="1">
      <c r="A5" s="180" t="s">
        <v>66</v>
      </c>
      <c r="B5" s="159"/>
      <c r="C5" s="159"/>
      <c r="D5" s="159"/>
      <c r="E5" s="180" t="s">
        <v>90</v>
      </c>
      <c r="F5" s="159"/>
      <c r="G5" s="159"/>
      <c r="H5" s="136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8"/>
    </row>
    <row r="6" spans="1:26" ht="19.5" customHeight="1">
      <c r="A6" s="115" t="s">
        <v>91</v>
      </c>
      <c r="B6" s="184" t="s">
        <v>58</v>
      </c>
      <c r="C6" s="186">
        <v>74.599999999999994</v>
      </c>
      <c r="D6" s="132"/>
      <c r="E6" s="69" t="s">
        <v>92</v>
      </c>
      <c r="F6" s="184" t="s">
        <v>58</v>
      </c>
      <c r="G6" s="186"/>
      <c r="H6" s="132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68"/>
      <c r="U6" s="68"/>
      <c r="V6" s="68"/>
      <c r="W6" s="68"/>
      <c r="X6" s="68"/>
      <c r="Y6" s="68"/>
      <c r="Z6" s="68"/>
    </row>
    <row r="7" spans="1:26" ht="19.5" customHeight="1">
      <c r="A7" s="116" t="s">
        <v>93</v>
      </c>
      <c r="B7" s="185"/>
      <c r="C7" s="133"/>
      <c r="D7" s="134"/>
      <c r="E7" s="70" t="s">
        <v>94</v>
      </c>
      <c r="F7" s="185"/>
      <c r="G7" s="133"/>
      <c r="H7" s="134"/>
      <c r="I7" s="68"/>
      <c r="J7" s="68"/>
      <c r="K7" s="68"/>
      <c r="L7" s="68"/>
      <c r="M7" s="68"/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</row>
    <row r="8" spans="1:26" ht="19.5" customHeight="1">
      <c r="A8" s="70" t="s">
        <v>95</v>
      </c>
      <c r="B8" s="185"/>
      <c r="C8" s="133"/>
      <c r="D8" s="134"/>
      <c r="E8" s="70" t="s">
        <v>95</v>
      </c>
      <c r="F8" s="185"/>
      <c r="G8" s="133"/>
      <c r="H8" s="134"/>
      <c r="I8" s="68"/>
      <c r="J8" s="68"/>
      <c r="K8" s="68"/>
      <c r="L8" s="68"/>
      <c r="M8" s="68"/>
      <c r="N8" s="68"/>
      <c r="O8" s="68"/>
      <c r="P8" s="68"/>
      <c r="Q8" s="68"/>
      <c r="R8" s="68"/>
      <c r="S8" s="68"/>
      <c r="T8" s="68"/>
      <c r="U8" s="68"/>
      <c r="V8" s="68"/>
      <c r="W8" s="68"/>
      <c r="X8" s="68"/>
      <c r="Y8" s="68"/>
      <c r="Z8" s="68"/>
    </row>
    <row r="9" spans="1:26" ht="19.5" customHeight="1">
      <c r="A9" s="70" t="s">
        <v>96</v>
      </c>
      <c r="B9" s="185"/>
      <c r="C9" s="133"/>
      <c r="D9" s="134"/>
      <c r="E9" s="70" t="s">
        <v>96</v>
      </c>
      <c r="F9" s="185"/>
      <c r="G9" s="133"/>
      <c r="H9" s="134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</row>
    <row r="10" spans="1:26" ht="19.5" customHeight="1">
      <c r="A10" s="119" t="s">
        <v>207</v>
      </c>
      <c r="B10" s="173"/>
      <c r="C10" s="135"/>
      <c r="D10" s="136"/>
      <c r="E10" s="71" t="s">
        <v>98</v>
      </c>
      <c r="F10" s="173"/>
      <c r="G10" s="135"/>
      <c r="H10" s="136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</row>
    <row r="11" spans="1:26" ht="19.5" customHeight="1">
      <c r="A11" s="69" t="s">
        <v>91</v>
      </c>
      <c r="B11" s="184" t="s">
        <v>58</v>
      </c>
      <c r="C11" s="186">
        <v>141.82</v>
      </c>
      <c r="D11" s="132"/>
      <c r="E11" s="69" t="s">
        <v>91</v>
      </c>
      <c r="F11" s="184" t="s">
        <v>58</v>
      </c>
      <c r="G11" s="186"/>
      <c r="H11" s="132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</row>
    <row r="12" spans="1:26" ht="19.5" customHeight="1">
      <c r="A12" s="70" t="s">
        <v>93</v>
      </c>
      <c r="B12" s="185"/>
      <c r="C12" s="133"/>
      <c r="D12" s="134"/>
      <c r="E12" s="70" t="s">
        <v>93</v>
      </c>
      <c r="F12" s="185"/>
      <c r="G12" s="133"/>
      <c r="H12" s="134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</row>
    <row r="13" spans="1:26" ht="19.5" customHeight="1">
      <c r="A13" s="70" t="s">
        <v>95</v>
      </c>
      <c r="B13" s="185"/>
      <c r="C13" s="133"/>
      <c r="D13" s="134"/>
      <c r="E13" s="70" t="s">
        <v>95</v>
      </c>
      <c r="F13" s="185"/>
      <c r="G13" s="133"/>
      <c r="H13" s="134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</row>
    <row r="14" spans="1:26" ht="19.5" customHeight="1">
      <c r="A14" s="70" t="s">
        <v>96</v>
      </c>
      <c r="B14" s="185"/>
      <c r="C14" s="133"/>
      <c r="D14" s="134"/>
      <c r="E14" s="70" t="s">
        <v>96</v>
      </c>
      <c r="F14" s="185"/>
      <c r="G14" s="133"/>
      <c r="H14" s="134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</row>
    <row r="15" spans="1:26" ht="19.5" customHeight="1">
      <c r="A15" s="119" t="s">
        <v>208</v>
      </c>
      <c r="B15" s="173"/>
      <c r="C15" s="135"/>
      <c r="D15" s="136"/>
      <c r="E15" s="71" t="s">
        <v>97</v>
      </c>
      <c r="F15" s="173"/>
      <c r="G15" s="135"/>
      <c r="H15" s="136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</row>
    <row r="16" spans="1:26" ht="19.5" customHeight="1">
      <c r="A16" s="187" t="s">
        <v>99</v>
      </c>
      <c r="B16" s="158"/>
      <c r="C16" s="158"/>
      <c r="D16" s="158"/>
      <c r="E16" s="187" t="s">
        <v>99</v>
      </c>
      <c r="F16" s="158"/>
      <c r="G16" s="158"/>
      <c r="H16" s="132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</row>
    <row r="17" spans="1:26" ht="19.5" customHeight="1">
      <c r="A17" s="180" t="s">
        <v>66</v>
      </c>
      <c r="B17" s="159"/>
      <c r="C17" s="159"/>
      <c r="D17" s="159"/>
      <c r="E17" s="180" t="s">
        <v>100</v>
      </c>
      <c r="F17" s="159"/>
      <c r="G17" s="159"/>
      <c r="H17" s="136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</row>
    <row r="18" spans="1:26" ht="19.5" customHeight="1">
      <c r="A18" s="181" t="s">
        <v>101</v>
      </c>
      <c r="B18" s="172" t="s">
        <v>58</v>
      </c>
      <c r="C18" s="182"/>
      <c r="D18" s="132"/>
      <c r="E18" s="181" t="s">
        <v>101</v>
      </c>
      <c r="F18" s="172" t="s">
        <v>58</v>
      </c>
      <c r="G18" s="182"/>
      <c r="H18" s="132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</row>
    <row r="19" spans="1:26" ht="19.5" customHeight="1">
      <c r="A19" s="173"/>
      <c r="B19" s="173"/>
      <c r="C19" s="135"/>
      <c r="D19" s="136"/>
      <c r="E19" s="173"/>
      <c r="F19" s="173"/>
      <c r="G19" s="135"/>
      <c r="H19" s="136"/>
      <c r="I19" s="68"/>
      <c r="J19" s="68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</row>
    <row r="20" spans="1:26" ht="120" customHeight="1">
      <c r="A20" s="183" t="s">
        <v>102</v>
      </c>
      <c r="B20" s="126"/>
      <c r="C20" s="126"/>
      <c r="D20" s="124"/>
      <c r="E20" s="183" t="s">
        <v>102</v>
      </c>
      <c r="F20" s="126"/>
      <c r="G20" s="126"/>
      <c r="H20" s="124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20" customHeight="1">
      <c r="A21" s="183" t="s">
        <v>102</v>
      </c>
      <c r="B21" s="126"/>
      <c r="C21" s="126"/>
      <c r="D21" s="124"/>
      <c r="E21" s="183" t="s">
        <v>102</v>
      </c>
      <c r="F21" s="126"/>
      <c r="G21" s="126"/>
      <c r="H21" s="124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9.5" customHeight="1">
      <c r="A22" s="72" t="s">
        <v>38</v>
      </c>
      <c r="B22" s="73" t="s">
        <v>58</v>
      </c>
      <c r="C22" s="176">
        <f>SUM(C6+C11+C18)</f>
        <v>216.42</v>
      </c>
      <c r="D22" s="124"/>
      <c r="E22" s="72" t="s">
        <v>38</v>
      </c>
      <c r="F22" s="74" t="s">
        <v>58</v>
      </c>
      <c r="G22" s="177">
        <f>G6+G11+G18</f>
        <v>0</v>
      </c>
      <c r="H22" s="132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</row>
    <row r="23" spans="1:26" ht="19.5" customHeight="1">
      <c r="A23" s="178" t="s">
        <v>103</v>
      </c>
      <c r="B23" s="126"/>
      <c r="C23" s="126"/>
      <c r="D23" s="126"/>
      <c r="E23" s="124"/>
      <c r="F23" s="76" t="s">
        <v>58</v>
      </c>
      <c r="G23" s="179">
        <f>C22+G22</f>
        <v>216.42</v>
      </c>
      <c r="H23" s="1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spans="1:26" ht="12.75" customHeight="1">
      <c r="A24" s="14" t="s">
        <v>104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spans="1:26" ht="12.7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spans="1:26" ht="12.7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spans="1:26" ht="12.7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spans="1:26" ht="12.7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spans="1:26" ht="12.7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spans="1:26" ht="12.7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spans="1:26" ht="12.7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spans="1:26" ht="12.7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spans="1:26" ht="12.7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spans="1:26" ht="12.7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spans="1:26" ht="12.7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spans="1:26" ht="12.7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spans="1:26" ht="12.7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spans="1:26" ht="12.7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spans="1:26" ht="12.7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spans="1:26" ht="12.7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spans="1:26" ht="12.7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spans="1:26" ht="12.7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spans="1:26" ht="12.7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spans="1:26" ht="12.7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spans="1:26" ht="12.7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spans="1:26" ht="12.7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spans="1:26" ht="12.7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spans="1:26" ht="12.7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spans="1:26" ht="12.7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spans="1:26" ht="12.7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spans="1:26" ht="12.7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spans="1:26" ht="12.7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spans="1:26" ht="12.7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spans="1:26" ht="12.7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spans="1:26" ht="12.7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spans="1:26" ht="12.7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spans="1:26" ht="12.7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spans="1:26" ht="12.7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spans="1:26" ht="12.7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spans="1:26" ht="12.7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spans="1:26" ht="12.7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spans="1:26" ht="12.7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spans="1:26" ht="12.7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spans="1:26" ht="12.7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spans="1:26" ht="12.7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spans="1:26" ht="12.7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spans="1:26" ht="12.7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spans="1:26" ht="12.7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spans="1:26" ht="12.7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spans="1:26" ht="12.7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spans="1:26" ht="12.7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spans="1:26" ht="12.7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spans="1:26" ht="12.7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spans="1:26" ht="12.7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spans="1:26" ht="12.7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spans="1:26" ht="12.7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spans="1:26" ht="12.7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spans="1:26" ht="12.7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spans="1:26" ht="12.7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spans="1:26" ht="12.7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spans="1:26" ht="12.7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spans="1:26" ht="12.7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spans="1:26" ht="12.7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spans="1:26" ht="12.7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spans="1:26" ht="12.7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spans="1:26" ht="12.7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spans="1:26" ht="12.7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spans="1:26" ht="12.7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spans="1:26" ht="12.7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spans="1:26" ht="12.7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spans="1:26" ht="12.7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spans="1:26" ht="12.7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spans="1:26" ht="12.7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spans="1:26" ht="12.7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spans="1:26" ht="12.7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spans="1:26" ht="12.7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spans="1:26" ht="12.7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spans="1:26" ht="12.7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spans="1:26" ht="12.7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spans="1:26" ht="12.7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spans="1:26" ht="12.7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spans="1:26" ht="12.7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spans="1:26" ht="12.7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spans="1:26" ht="12.7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spans="1:26" ht="12.7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spans="1:26" ht="12.7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spans="1:26" ht="12.7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spans="1:26" ht="12.7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spans="1:26" ht="12.7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spans="1:26" ht="12.7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spans="1:26" ht="12.7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spans="1:26" ht="12.7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spans="1:26" ht="12.7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spans="1:26" ht="12.7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spans="1:26" ht="12.7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spans="1:26" ht="12.7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spans="1:26" ht="12.7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spans="1:26" ht="12.7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spans="1:26" ht="12.7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spans="1:26" ht="12.7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spans="1:26" ht="12.7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spans="1:26" ht="12.7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spans="1:26" ht="12.7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spans="1:26" ht="12.7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spans="1:26" ht="12.7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spans="1:26" ht="12.7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spans="1:26" ht="12.7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spans="1:26" ht="12.7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spans="1:26" ht="12.7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spans="1:26" ht="12.7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spans="1:26" ht="12.7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spans="1:26" ht="12.7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spans="1:26" ht="12.7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spans="1:26" ht="12.7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spans="1:26" ht="12.7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spans="1:26" ht="12.7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spans="1:26" ht="12.7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spans="1:26" ht="12.7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spans="1:26" ht="12.7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spans="1:26" ht="12.7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spans="1:26" ht="12.7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spans="1:26" ht="12.7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spans="1:26" ht="12.7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spans="1:26" ht="12.7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spans="1:26" ht="12.7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spans="1:26" ht="12.7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spans="1:26" ht="12.7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spans="1:26" ht="12.7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spans="1:26" ht="12.7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spans="1:26" ht="12.7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spans="1:26" ht="12.7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spans="1:26" ht="12.7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spans="1:26" ht="12.7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spans="1:26" ht="12.7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spans="1:26" ht="12.7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spans="1:26" ht="12.7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spans="1:26" ht="12.7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spans="1:26" ht="12.7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spans="1:26" ht="12.7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spans="1:26" ht="12.7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spans="1:26" ht="12.7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spans="1:26" ht="12.7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spans="1:26" ht="12.7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spans="1:26" ht="12.7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spans="1:26" ht="12.7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spans="1:26" ht="12.7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spans="1:26" ht="12.7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spans="1:26" ht="12.7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spans="1:26" ht="12.7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spans="1:26" ht="12.7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spans="1:26" ht="12.7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spans="1:26" ht="12.7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spans="1:26" ht="12.7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spans="1:26" ht="12.7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spans="1:26" ht="12.7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spans="1:26" ht="12.7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spans="1:26" ht="12.7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spans="1:26" ht="12.7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spans="1:26" ht="12.7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spans="1:26" ht="12.7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spans="1:26" ht="12.7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spans="1:26" ht="12.7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spans="1:26" ht="12.7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spans="1:26" ht="12.7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spans="1:26" ht="12.7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spans="1:26" ht="12.7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spans="1:26" ht="12.7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spans="1:26" ht="12.7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spans="1:26" ht="12.7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spans="1:26" ht="12.7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spans="1:26" ht="12.7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spans="1:26" ht="12.7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spans="1:26" ht="12.7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spans="1:26" ht="12.7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spans="1:26" ht="12.7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spans="1:26" ht="12.7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spans="1:26" ht="12.7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spans="1:26" ht="12.7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spans="1:26" ht="12.7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spans="1:26" ht="12.7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spans="1:26" ht="12.7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spans="1:26" ht="12.7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spans="1:26" ht="12.7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spans="1:26" ht="12.7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spans="1:26" ht="12.7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spans="1:26" ht="12.7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spans="1:26" ht="12.7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spans="1:26" ht="12.7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spans="1:26" ht="12.7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spans="1:26" ht="12.7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spans="1:26" ht="12.7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spans="1:26" ht="12.7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spans="1:26" ht="12.7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spans="1:26" ht="12.7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spans="1:26" ht="12.7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spans="1:26" ht="12.7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spans="1:26" ht="12.7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spans="1:26" ht="12.7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spans="1:26" ht="12.7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spans="1:26" ht="12.7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spans="1:26" ht="12.7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spans="1:26" ht="12.7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spans="1:26" ht="12.7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spans="1:26" ht="12.7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spans="1:26" ht="12.7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spans="1:26" ht="12.7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spans="1:26" ht="12.7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spans="1:26" ht="12.7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spans="1:26" ht="12.7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spans="1:26" ht="12.7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spans="1:26" ht="12.7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spans="1:26" ht="12.7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spans="1:26" ht="12.7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spans="1:26" ht="12.7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spans="1:26" ht="12.7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spans="1:26" ht="12.7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spans="1:26" ht="12.7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spans="1:26" ht="12.7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spans="1:26" ht="12.7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spans="1:26" ht="12.7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spans="1:26" ht="12.7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spans="1:26" ht="12.7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spans="1:26" ht="12.7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spans="1:26" ht="12.7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spans="1:26" ht="12.7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spans="1:26" ht="12.7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spans="1:26" ht="12.7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spans="1:26" ht="12.7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spans="1:26" ht="12.7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spans="1:26" ht="12.7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spans="1:26" ht="12.7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spans="1:26" ht="12.7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spans="1:26" ht="12.7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spans="1:26" ht="12.7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spans="1:26" ht="12.7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spans="1:26" ht="12.7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spans="1:26" ht="12.7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spans="1:26" ht="12.7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spans="1:26" ht="12.7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spans="1:26" ht="12.7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spans="1:26" ht="12.7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spans="1:26" ht="12.7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spans="1:26" ht="12.7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spans="1:26" ht="12.7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spans="1:26" ht="12.7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spans="1:26" ht="12.7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spans="1:26" ht="12.7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spans="1:26" ht="12.7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spans="1:26" ht="12.7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spans="1:26" ht="12.7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spans="1:26" ht="12.7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spans="1:26" ht="12.7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spans="1:26" ht="12.7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spans="1:26" ht="12.7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spans="1:26" ht="12.7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spans="1:26" ht="12.7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spans="1:26" ht="12.7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spans="1:26" ht="12.7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spans="1:26" ht="12.7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spans="1:26" ht="12.7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spans="1:26" ht="12.7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spans="1:26" ht="12.7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spans="1:26" ht="12.7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spans="1:26" ht="12.7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spans="1:26" ht="12.7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spans="1:26" ht="12.7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spans="1:26" ht="12.7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spans="1:26" ht="12.7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spans="1:26" ht="12.7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spans="1:26" ht="12.7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spans="1:26" ht="12.7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spans="1:26" ht="12.7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spans="1:26" ht="12.7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spans="1:26" ht="12.7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spans="1:26" ht="12.7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spans="1:26" ht="12.7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spans="1:26" ht="12.7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spans="1:26" ht="12.7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spans="1:26" ht="12.7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spans="1:26" ht="12.7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spans="1:26" ht="12.7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spans="1:26" ht="12.7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spans="1:26" ht="12.7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spans="1:26" ht="12.7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spans="1:26" ht="12.7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spans="1:26" ht="12.7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spans="1:26" ht="12.7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spans="1:26" ht="12.7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spans="1:26" ht="12.7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spans="1:26" ht="12.7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spans="1:26" ht="12.7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spans="1:26" ht="12.7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spans="1:26" ht="12.7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spans="1:26" ht="12.7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spans="1:26" ht="12.7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spans="1:26" ht="12.7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spans="1:26" ht="12.7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spans="1:26" ht="12.7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spans="1:26" ht="12.7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spans="1:26" ht="12.7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spans="1:26" ht="12.7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spans="1:26" ht="12.7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spans="1:26" ht="12.7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spans="1:26" ht="12.7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spans="1:26" ht="12.7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spans="1:26" ht="12.7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spans="1:26" ht="12.7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spans="1:26" ht="12.7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spans="1:26" ht="12.7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spans="1:26" ht="12.7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spans="1:26" ht="12.7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spans="1:26" ht="12.7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spans="1:26" ht="12.7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spans="1:26" ht="12.7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spans="1:26" ht="12.7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spans="1:26" ht="12.7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spans="1:26" ht="12.7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spans="1:26" ht="12.7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spans="1:26" ht="12.7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spans="1:26" ht="12.7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spans="1:26" ht="12.7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spans="1:26" ht="12.7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spans="1:26" ht="12.7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spans="1:26" ht="12.7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spans="1:26" ht="12.7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spans="1:26" ht="12.7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spans="1:26" ht="12.7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spans="1:26" ht="12.7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spans="1:26" ht="12.7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spans="1:26" ht="12.7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spans="1:26" ht="12.7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spans="1:26" ht="12.7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spans="1:26" ht="12.7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spans="1:26" ht="12.7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spans="1:26" ht="12.7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spans="1:26" ht="12.7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spans="1:26" ht="12.7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spans="1:26" ht="12.7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spans="1:26" ht="12.7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spans="1:26" ht="12.7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spans="1:26" ht="12.7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spans="1:26" ht="12.7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spans="1:26" ht="12.7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spans="1:26" ht="12.7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spans="1:26" ht="12.7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spans="1:26" ht="12.7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spans="1:26" ht="12.7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spans="1:26" ht="12.7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spans="1:26" ht="12.7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spans="1:26" ht="12.7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spans="1:26" ht="12.7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spans="1:26" ht="12.7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spans="1:26" ht="12.7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spans="1:26" ht="12.7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spans="1:26" ht="12.7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spans="1:26" ht="12.7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spans="1:26" ht="12.7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spans="1:26" ht="12.7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spans="1:26" ht="12.7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spans="1:26" ht="12.7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spans="1:26" ht="12.7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spans="1:26" ht="12.7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spans="1:26" ht="12.7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spans="1:26" ht="12.7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spans="1:26" ht="12.7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spans="1:26" ht="12.7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spans="1:26" ht="12.7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spans="1:26" ht="12.7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spans="1:26" ht="12.7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spans="1:26" ht="12.7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spans="1:26" ht="12.7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spans="1:26" ht="12.7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spans="1:26" ht="12.7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spans="1:26" ht="12.7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spans="1:26" ht="12.7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spans="1:26" ht="12.7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spans="1:26" ht="12.7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spans="1:26" ht="12.7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spans="1:26" ht="12.7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spans="1:26" ht="12.7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spans="1:26" ht="12.7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spans="1:26" ht="12.7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spans="1:26" ht="12.7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spans="1:26" ht="12.7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spans="1:26" ht="12.7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spans="1:26" ht="12.7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spans="1:26" ht="12.7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spans="1:26" ht="12.7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spans="1:26" ht="12.7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spans="1:26" ht="12.7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spans="1:26" ht="12.7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spans="1:26" ht="12.7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spans="1:26" ht="12.7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spans="1:26" ht="12.7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spans="1:26" ht="12.7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spans="1:26" ht="12.7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spans="1:26" ht="12.7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spans="1:26" ht="12.7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spans="1:26" ht="12.7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spans="1:26" ht="12.7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spans="1:26" ht="12.7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spans="1:26" ht="12.7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spans="1:26" ht="12.7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spans="1:26" ht="12.7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spans="1:26" ht="12.7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spans="1:26" ht="12.7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spans="1:26" ht="12.7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spans="1:26" ht="12.7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spans="1:26" ht="12.7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spans="1:26" ht="12.7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spans="1:26" ht="12.7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spans="1:26" ht="12.7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spans="1:26" ht="12.7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spans="1:26" ht="12.7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spans="1:26" ht="12.7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spans="1:26" ht="12.7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spans="1:26" ht="12.7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spans="1:26" ht="12.7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spans="1:26" ht="12.7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spans="1:26" ht="12.7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spans="1:26" ht="12.7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spans="1:26" ht="12.7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spans="1:26" ht="12.7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spans="1:26" ht="12.7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spans="1:26" ht="12.7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spans="1:26" ht="12.7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spans="1:26" ht="12.7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spans="1:26" ht="12.7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spans="1:26" ht="12.7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spans="1:26" ht="12.7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spans="1:26" ht="12.7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spans="1:26" ht="12.7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spans="1:26" ht="12.7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spans="1:26" ht="12.7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spans="1:26" ht="12.7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spans="1:26" ht="12.7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spans="1:26" ht="12.7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spans="1:26" ht="12.7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spans="1:26" ht="12.7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spans="1:26" ht="12.7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spans="1:26" ht="12.7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spans="1:26" ht="12.7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spans="1:26" ht="12.7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spans="1:26" ht="12.7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spans="1:26" ht="12.7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spans="1:26" ht="12.7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spans="1:26" ht="12.7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spans="1:26" ht="12.7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spans="1:26" ht="12.7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spans="1:26" ht="12.7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spans="1:26" ht="12.7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spans="1:26" ht="12.7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spans="1:26" ht="12.7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spans="1:26" ht="12.7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spans="1:26" ht="12.7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spans="1:26" ht="12.7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spans="1:26" ht="12.7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spans="1:26" ht="12.7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spans="1:26" ht="12.7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spans="1:26" ht="12.7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spans="1:26" ht="12.7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spans="1:26" ht="12.7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spans="1:26" ht="12.7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spans="1:26" ht="12.7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spans="1:26" ht="12.7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spans="1:26" ht="12.7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spans="1:26" ht="12.7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spans="1:26" ht="12.7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spans="1:26" ht="12.7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spans="1:26" ht="12.7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spans="1:26" ht="12.7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spans="1:26" ht="12.7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spans="1:26" ht="12.7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spans="1:26" ht="12.7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spans="1:26" ht="12.7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spans="1:26" ht="12.7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spans="1:26" ht="12.7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spans="1:26" ht="12.7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spans="1:26" ht="12.7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spans="1:26" ht="12.7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spans="1:26" ht="12.7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spans="1:26" ht="12.7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spans="1:26" ht="12.7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spans="1:26" ht="12.7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spans="1:26" ht="12.7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spans="1:26" ht="12.7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spans="1:26" ht="12.7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spans="1:26" ht="12.7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spans="1:26" ht="12.7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spans="1:26" ht="12.7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spans="1:26" ht="12.7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spans="1:26" ht="12.7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spans="1:26" ht="12.7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spans="1:26" ht="12.7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spans="1:26" ht="12.7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spans="1:26" ht="12.7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spans="1:26" ht="12.7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spans="1:26" ht="12.7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spans="1:26" ht="12.7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spans="1:26" ht="12.7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spans="1:26" ht="12.7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spans="1:26" ht="12.7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spans="1:26" ht="12.7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spans="1:26" ht="12.7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spans="1:26" ht="12.7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spans="1:26" ht="12.7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spans="1:26" ht="12.7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spans="1:26" ht="12.7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spans="1:26" ht="12.7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spans="1:26" ht="12.7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spans="1:26" ht="12.7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spans="1:26" ht="12.7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spans="1:26" ht="12.7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spans="1:26" ht="12.7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spans="1:26" ht="12.7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spans="1:26" ht="12.7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spans="1:26" ht="12.7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spans="1:26" ht="12.7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spans="1:26" ht="12.7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spans="1:26" ht="12.7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spans="1:26" ht="12.7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spans="1:26" ht="12.7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spans="1:26" ht="12.7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spans="1:26" ht="12.7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spans="1:26" ht="12.7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spans="1:26" ht="12.7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spans="1:26" ht="12.7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spans="1:26" ht="12.7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spans="1:26" ht="12.7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spans="1:26" ht="12.7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spans="1:26" ht="12.7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spans="1:26" ht="12.7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spans="1:26" ht="12.7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spans="1:26" ht="12.7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spans="1:26" ht="12.7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spans="1:26" ht="12.7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spans="1:26" ht="12.7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spans="1:26" ht="12.7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spans="1:26" ht="12.7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spans="1:26" ht="12.7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spans="1:26" ht="12.7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spans="1:26" ht="12.7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spans="1:26" ht="12.7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spans="1:26" ht="12.7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spans="1:26" ht="12.7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spans="1:26" ht="12.7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spans="1:26" ht="12.7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spans="1:26" ht="12.7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spans="1:26" ht="12.7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spans="1:26" ht="12.7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spans="1:26" ht="12.7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spans="1:26" ht="12.7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spans="1:26" ht="12.7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spans="1:26" ht="12.7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spans="1:26" ht="12.7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spans="1:26" ht="12.7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spans="1:26" ht="12.7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spans="1:26" ht="12.7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spans="1:26" ht="12.7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spans="1:26" ht="12.7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spans="1:26" ht="12.7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spans="1:26" ht="12.7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spans="1:26" ht="12.7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spans="1:26" ht="12.7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spans="1:26" ht="12.7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spans="1:26" ht="12.7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spans="1:26" ht="12.7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spans="1:26" ht="12.7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spans="1:26" ht="12.7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spans="1:26" ht="12.7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spans="1:26" ht="12.7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spans="1:26" ht="12.7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spans="1:26" ht="12.7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spans="1:26" ht="12.7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spans="1:26" ht="12.7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spans="1:26" ht="12.7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spans="1:26" ht="12.7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spans="1:26" ht="12.7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spans="1:26" ht="12.7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spans="1:26" ht="12.7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spans="1:26" ht="12.7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spans="1:26" ht="12.7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spans="1:26" ht="12.7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spans="1:26" ht="12.7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spans="1:26" ht="12.7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spans="1:26" ht="12.7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spans="1:26" ht="12.7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spans="1:26" ht="12.7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spans="1:26" ht="12.7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spans="1:26" ht="12.7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spans="1:26" ht="12.7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spans="1:26" ht="12.7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spans="1:26" ht="12.7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spans="1:26" ht="12.7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spans="1:26" ht="12.7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spans="1:26" ht="12.7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spans="1:26" ht="12.7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spans="1:26" ht="12.7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spans="1:26" ht="12.7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spans="1:26" ht="12.7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spans="1:26" ht="12.7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spans="1:26" ht="12.7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spans="1:26" ht="12.7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spans="1:26" ht="12.7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spans="1:26" ht="12.7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spans="1:26" ht="12.7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spans="1:26" ht="12.7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spans="1:26" ht="12.7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spans="1:26" ht="12.7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spans="1:26" ht="12.7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spans="1:26" ht="12.7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spans="1:26" ht="12.7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spans="1:26" ht="12.7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spans="1:26" ht="12.7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spans="1:26" ht="12.7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spans="1:26" ht="12.7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spans="1:26" ht="12.7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spans="1:26" ht="12.7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spans="1:26" ht="12.7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spans="1:26" ht="12.7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spans="1:26" ht="12.7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spans="1:26" ht="12.7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spans="1:26" ht="12.7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spans="1:26" ht="12.7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spans="1:26" ht="12.7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spans="1:26" ht="12.7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spans="1:26" ht="12.7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spans="1:26" ht="12.7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spans="1:26" ht="12.7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spans="1:26" ht="12.7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spans="1:26" ht="12.7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spans="1:26" ht="12.7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spans="1:26" ht="12.7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spans="1:26" ht="12.7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spans="1:26" ht="12.7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spans="1:26" ht="12.7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spans="1:26" ht="12.7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spans="1:26" ht="12.7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spans="1:26" ht="12.7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spans="1:26" ht="12.7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spans="1:26" ht="12.7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spans="1:26" ht="12.7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spans="1:26" ht="12.7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spans="1:26" ht="12.7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spans="1:26" ht="12.7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spans="1:26" ht="12.7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spans="1:26" ht="12.7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spans="1:26" ht="12.7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spans="1:26" ht="12.7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spans="1:26" ht="12.7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spans="1:26" ht="12.7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spans="1:26" ht="12.7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spans="1:26" ht="12.7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spans="1:26" ht="12.7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spans="1:26" ht="12.7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spans="1:26" ht="12.7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spans="1:26" ht="12.7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spans="1:26" ht="12.7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spans="1:26" ht="12.7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spans="1:26" ht="12.7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spans="1:26" ht="12.7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spans="1:26" ht="12.7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spans="1:26" ht="12.7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spans="1:26" ht="12.7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spans="1:26" ht="12.7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spans="1:26" ht="12.7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spans="1:26" ht="12.7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spans="1:26" ht="12.7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spans="1:26" ht="12.7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spans="1:26" ht="12.7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spans="1:26" ht="12.7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spans="1:26" ht="12.7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spans="1:26" ht="12.7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spans="1:26" ht="12.7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spans="1:26" ht="12.7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spans="1:26" ht="12.7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spans="1:26" ht="12.7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spans="1:26" ht="12.7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spans="1:26" ht="12.7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spans="1:26" ht="12.7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spans="1:26" ht="12.7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spans="1:26" ht="12.7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spans="1:26" ht="12.7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spans="1:26" ht="12.7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spans="1:26" ht="12.7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spans="1:26" ht="12.7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spans="1:26" ht="12.7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spans="1:26" ht="12.7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spans="1:26" ht="12.7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spans="1:26" ht="12.7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spans="1:26" ht="12.7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spans="1:26" ht="12.7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spans="1:26" ht="12.7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spans="1:26" ht="12.7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spans="1:26" ht="12.7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spans="1:26" ht="12.7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spans="1:26" ht="12.7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spans="1:26" ht="12.7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spans="1:26" ht="12.7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spans="1:26" ht="12.7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spans="1:26" ht="12.7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spans="1:26" ht="12.7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spans="1:26" ht="12.7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spans="1:26" ht="12.7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spans="1:26" ht="12.7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spans="1:26" ht="12.7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spans="1:26" ht="12.7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spans="1:26" ht="12.7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spans="1:26" ht="12.7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spans="1:26" ht="12.7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spans="1:26" ht="12.7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spans="1:26" ht="12.7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spans="1:26" ht="12.7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spans="1:26" ht="12.7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spans="1:26" ht="12.7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spans="1:26" ht="12.7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spans="1:26" ht="12.7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spans="1:26" ht="12.7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spans="1:26" ht="12.7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spans="1:26" ht="12.7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spans="1:26" ht="12.7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spans="1:26" ht="12.7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spans="1:26" ht="12.7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spans="1:26" ht="12.7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spans="1:26" ht="12.7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spans="1:26" ht="12.7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spans="1:26" ht="12.7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spans="1:26" ht="12.7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spans="1:26" ht="12.7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spans="1:26" ht="12.7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spans="1:26" ht="12.7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spans="1:26" ht="12.7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spans="1:26" ht="12.7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spans="1:26" ht="12.7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spans="1:26" ht="12.7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spans="1:26" ht="12.7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spans="1:26" ht="12.7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spans="1:26" ht="12.7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spans="1:26" ht="12.7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spans="1:26" ht="12.7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spans="1:26" ht="12.7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spans="1:26" ht="12.7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spans="1:26" ht="12.7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spans="1:26" ht="12.7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spans="1:26" ht="12.7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spans="1:26" ht="12.7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spans="1:26" ht="12.7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spans="1:26" ht="12.7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spans="1:26" ht="12.7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spans="1:26" ht="12.7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spans="1:26" ht="12.7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spans="1:26" ht="12.7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spans="1:26" ht="12.7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spans="1:26" ht="12.7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spans="1:26" ht="12.7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spans="1:26" ht="12.7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spans="1:26" ht="12.7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spans="1:26" ht="12.7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spans="1:26" ht="12.7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spans="1:26" ht="12.7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spans="1:26" ht="12.7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spans="1:26" ht="12.7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spans="1:26" ht="12.7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spans="1:26" ht="12.7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spans="1:26" ht="12.7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spans="1:26" ht="12.7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spans="1:26" ht="12.7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spans="1:26" ht="12.7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spans="1:26" ht="12.7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spans="1:26" ht="12.7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spans="1:26" ht="12.7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spans="1:26" ht="12.7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spans="1:26" ht="12.7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spans="1:26" ht="12.7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spans="1:26" ht="12.7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spans="1:26" ht="12.7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spans="1:26" ht="12.7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spans="1:26" ht="12.7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spans="1:26" ht="12.7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spans="1:26" ht="12.7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spans="1:26" ht="12.7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spans="1:26" ht="12.7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spans="1:26" ht="12.7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spans="1:26" ht="12.7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spans="1:26" ht="12.7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spans="1:26" ht="12.7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spans="1:26" ht="12.7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spans="1:26" ht="12.7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spans="1:26" ht="12.7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spans="1:26" ht="12.7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spans="1:26" ht="12.7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spans="1:26" ht="12.7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spans="1:26" ht="12.7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spans="1:26" ht="12.7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spans="1:26" ht="12.7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spans="1:26" ht="12.7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spans="1:26" ht="12.7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spans="1:26" ht="12.7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spans="1:26" ht="12.7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spans="1:26" ht="12.7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spans="1:26" ht="12.7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spans="1:26" ht="12.7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spans="1:26" ht="12.7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spans="1:26" ht="12.7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spans="1:26" ht="12.7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spans="1:26" ht="12.7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spans="1:26" ht="12.7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spans="1:26" ht="12.7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spans="1:26" ht="12.7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spans="1:26" ht="12.7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spans="1:26" ht="12.7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spans="1:26" ht="12.7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spans="1:26" ht="12.7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spans="1:26" ht="12.7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spans="1:26" ht="12.7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spans="1:26" ht="12.7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spans="1:26" ht="12.7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spans="1:26" ht="12.7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spans="1:26" ht="12.7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spans="1:26" ht="12.7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spans="1:26" ht="12.7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spans="1:26" ht="12.7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spans="1:26" ht="12.7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spans="1:26" ht="12.7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spans="1:26" ht="12.7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spans="1:26" ht="12.7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spans="1:26" ht="12.7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spans="1:26" ht="12.7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spans="1:26" ht="12.7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spans="1:26" ht="12.7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spans="1:26" ht="12.7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spans="1:26" ht="12.7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spans="1:26" ht="12.7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spans="1:26" ht="12.7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spans="1:26" ht="12.7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spans="1:26" ht="12.7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spans="1:26" ht="12.7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spans="1:26" ht="12.7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spans="1:26" ht="12.7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spans="1:26" ht="12.7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spans="1:26" ht="12.7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spans="1:26" ht="12.7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spans="1:26" ht="12.7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spans="1:26" ht="12.7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spans="1:26" ht="12.7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spans="1:26" ht="12.7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spans="1:26" ht="12.7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spans="1:26" ht="12.7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spans="1:26" ht="12.7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spans="1:26" ht="12.7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spans="1:26" ht="12.7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spans="1:26" ht="12.7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spans="1:26" ht="12.7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spans="1:26" ht="12.7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spans="1:26" ht="12.7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spans="1:26" ht="12.7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spans="1:26" ht="12.7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spans="1:26" ht="12.7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spans="1:26" ht="12.7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spans="1:26" ht="12.7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spans="1:26" ht="12.7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spans="1:26" ht="12.7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spans="1:26" ht="12.7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spans="1:26" ht="12.7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spans="1:26" ht="12.7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spans="1:26" ht="12.7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spans="1:26" ht="12.7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spans="1:26" ht="12.7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spans="1:26" ht="12.7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spans="1:26" ht="12.7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spans="1:26" ht="12.7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spans="1:26" ht="12.7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spans="1:26" ht="12.7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spans="1:26" ht="12.7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spans="1:26" ht="12.7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spans="1:26" ht="12.7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spans="1:26" ht="12.7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spans="1:26" ht="12.7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spans="1:26" ht="12.7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spans="1:26" ht="12.7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spans="1:26" ht="12.7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spans="1:26" ht="12.7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spans="1:26" ht="12.7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spans="1:26" ht="12.7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spans="1:26" ht="12.7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spans="1:26" ht="12.7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spans="1:26" ht="12.7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spans="1:26" ht="12.7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spans="1:26" ht="12.7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spans="1:26" ht="12.7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spans="1:26" ht="12.7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spans="1:26" ht="12.7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spans="1:26" ht="12.7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spans="1:26" ht="12.7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spans="1:26" ht="12.7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spans="1:26" ht="12.7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spans="1:26" ht="12.7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spans="1:26" ht="12.7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spans="1:26" ht="12.7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spans="1:26" ht="12.7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spans="1:26" ht="12.7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spans="1:26" ht="12.7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spans="1:26" ht="12.7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spans="1:26" ht="12.7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spans="1:26" ht="12.7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spans="1:26" ht="12.7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spans="1:26" ht="12.7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spans="1:26" ht="12.7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spans="1:26" ht="12.7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spans="1:26" ht="12.7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spans="1:26" ht="12.7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spans="1:26" ht="12.7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spans="1:26" ht="12.7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spans="1:26" ht="12.7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spans="1:26" ht="12.7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spans="1:26" ht="12.7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spans="1:26" ht="12.7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spans="1:26" ht="12.7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spans="1:26" ht="12.7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spans="1:26" ht="12.7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spans="1:26" ht="12.7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spans="1:26" ht="12.7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spans="1:26" ht="12.7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spans="1:26" ht="12.7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spans="1:26" ht="12.7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spans="1:26" ht="12.7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spans="1:26" ht="12.7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spans="1:26" ht="12.7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spans="1:26" ht="12.7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spans="1:26" ht="12.7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spans="1:26" ht="12.7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spans="1:26" ht="12.7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spans="1:26" ht="12.7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spans="1:26" ht="12.7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spans="1:26" ht="12.7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spans="1:26" ht="12.7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spans="1:26" ht="12.7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spans="1:26" ht="12.7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spans="1:26" ht="12.7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spans="1:26" ht="12.7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spans="1:26" ht="12.7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spans="1:26" ht="12.7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spans="1:26" ht="12.7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spans="1:26" ht="12.7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spans="1:26" ht="12.7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spans="1:26" ht="12.7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spans="1:26" ht="12.7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spans="1:26" ht="12.7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spans="1:26" ht="12.7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spans="1:26" ht="12.7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spans="1:26" ht="12.7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spans="1:26" ht="12.7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spans="1:26" ht="12.7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spans="1:26" ht="12.7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spans="1:26" ht="12.7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spans="1:26" ht="12.7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spans="1:26" ht="12.7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spans="1:26" ht="12.7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spans="1:26" ht="12.7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spans="1:26" ht="12.7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spans="1:26" ht="12.7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spans="1:26" ht="12.7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spans="1:26" ht="12.7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spans="1:26" ht="12.7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spans="1:26" ht="12.7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spans="1:26" ht="12.7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spans="1:26" ht="12.7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spans="1:26" ht="12.7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spans="1:26" ht="12.7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spans="1:26" ht="12.7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spans="1:26" ht="12.7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spans="1:26" ht="12.7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spans="1:26" ht="12.7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spans="1:26" ht="12.7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spans="1:26" ht="12.7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spans="1:26" ht="12.7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spans="1:26" ht="12.7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spans="1:26" ht="12.7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spans="1:26" ht="12.7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spans="1:26" ht="12.7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31">
    <mergeCell ref="F6:F10"/>
    <mergeCell ref="G6:H10"/>
    <mergeCell ref="A3:H3"/>
    <mergeCell ref="A4:D4"/>
    <mergeCell ref="E4:H4"/>
    <mergeCell ref="A5:D5"/>
    <mergeCell ref="E5:H5"/>
    <mergeCell ref="B6:B10"/>
    <mergeCell ref="C6:D10"/>
    <mergeCell ref="B11:B15"/>
    <mergeCell ref="C11:D15"/>
    <mergeCell ref="F11:F15"/>
    <mergeCell ref="G11:H15"/>
    <mergeCell ref="A16:D16"/>
    <mergeCell ref="E16:H16"/>
    <mergeCell ref="C22:D22"/>
    <mergeCell ref="G22:H22"/>
    <mergeCell ref="A23:E23"/>
    <mergeCell ref="G23:H23"/>
    <mergeCell ref="A17:D17"/>
    <mergeCell ref="A18:A19"/>
    <mergeCell ref="B18:B19"/>
    <mergeCell ref="C18:D19"/>
    <mergeCell ref="E18:E19"/>
    <mergeCell ref="F18:F19"/>
    <mergeCell ref="G18:H19"/>
    <mergeCell ref="E17:H17"/>
    <mergeCell ref="A20:D20"/>
    <mergeCell ref="E20:H20"/>
    <mergeCell ref="A21:D21"/>
    <mergeCell ref="E21:H21"/>
  </mergeCells>
  <printOptions horizontalCentered="1"/>
  <pageMargins left="0.7" right="0.7" top="0.75" bottom="0.75" header="0.3" footer="0.3"/>
  <pageSetup paperSize="9"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6"/>
  <sheetViews>
    <sheetView tabSelected="1" topLeftCell="A10" workbookViewId="0">
      <selection activeCell="D15" sqref="D15"/>
    </sheetView>
  </sheetViews>
  <sheetFormatPr defaultColWidth="14.42578125" defaultRowHeight="15" customHeight="1"/>
  <cols>
    <col min="1" max="1" width="74.85546875" customWidth="1"/>
    <col min="2" max="2" width="6" customWidth="1"/>
    <col min="3" max="3" width="17.42578125" customWidth="1"/>
    <col min="4" max="7" width="9.140625" customWidth="1"/>
    <col min="8" max="8" width="6.7109375" customWidth="1"/>
    <col min="9" max="26" width="8.7109375" customWidth="1"/>
  </cols>
  <sheetData>
    <row r="1" spans="1:26" ht="14.25" customHeight="1">
      <c r="A1" s="15" t="s">
        <v>0</v>
      </c>
      <c r="B1" s="15"/>
      <c r="C1" s="16" t="s">
        <v>1</v>
      </c>
      <c r="D1" s="15"/>
      <c r="E1" s="15"/>
      <c r="F1" s="15"/>
      <c r="G1" s="15"/>
      <c r="H1" s="16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>
      <c r="A2" s="15"/>
      <c r="B2" s="15"/>
      <c r="C2" s="1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22.5" customHeight="1">
      <c r="A3" s="141" t="s">
        <v>105</v>
      </c>
      <c r="B3" s="126"/>
      <c r="C3" s="12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32.25" customHeight="1">
      <c r="A4" s="141" t="s">
        <v>106</v>
      </c>
      <c r="B4" s="126"/>
      <c r="C4" s="124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 spans="1:26" ht="32.25" customHeight="1">
      <c r="A5" s="117" t="s">
        <v>107</v>
      </c>
      <c r="B5" s="34" t="s">
        <v>58</v>
      </c>
      <c r="C5" s="3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 spans="1:26" ht="32.25" customHeight="1">
      <c r="A6" s="117" t="s">
        <v>108</v>
      </c>
      <c r="B6" s="77" t="s">
        <v>58</v>
      </c>
      <c r="C6" s="79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 spans="1:26" ht="32.25" customHeight="1">
      <c r="A7" s="78" t="s">
        <v>109</v>
      </c>
      <c r="B7" s="34" t="s">
        <v>58</v>
      </c>
      <c r="C7" s="3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 spans="1:26" ht="32.25" customHeight="1">
      <c r="A8" s="78" t="s">
        <v>110</v>
      </c>
      <c r="B8" s="77" t="s">
        <v>58</v>
      </c>
      <c r="C8" s="79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 spans="1:26" ht="32.25" customHeight="1">
      <c r="A9" s="78" t="s">
        <v>111</v>
      </c>
      <c r="B9" s="34" t="s">
        <v>58</v>
      </c>
      <c r="C9" s="3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 spans="1:26" ht="32.25" customHeight="1">
      <c r="A10" s="78" t="s">
        <v>112</v>
      </c>
      <c r="B10" s="77" t="s">
        <v>58</v>
      </c>
      <c r="C10" s="79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 spans="1:26" ht="32.25" customHeight="1">
      <c r="A11" s="78" t="s">
        <v>113</v>
      </c>
      <c r="B11" s="34" t="s">
        <v>58</v>
      </c>
      <c r="C11" s="3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 spans="1:26" ht="32.25" customHeight="1">
      <c r="A12" s="117" t="s">
        <v>114</v>
      </c>
      <c r="B12" s="34" t="s">
        <v>58</v>
      </c>
      <c r="C12" s="3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 spans="1:26" ht="32.25" customHeight="1">
      <c r="A13" s="5" t="s">
        <v>115</v>
      </c>
      <c r="B13" s="34"/>
      <c r="C13" s="3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 spans="1:26" ht="32.25" customHeight="1">
      <c r="A14" s="80" t="s">
        <v>116</v>
      </c>
      <c r="B14" s="81" t="s">
        <v>58</v>
      </c>
      <c r="C14" s="82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 spans="1:26" ht="32.25" customHeight="1">
      <c r="A15" s="80" t="s">
        <v>117</v>
      </c>
      <c r="B15" s="4" t="s">
        <v>58</v>
      </c>
      <c r="C15" s="83">
        <f t="array" ref="C15:D15">'Muka 3'!H33:I33+'Muka 4'!G23:H23+'Muka 5'!C14</f>
        <v>624.69999999999993</v>
      </c>
      <c r="D15" s="84">
        <v>0</v>
      </c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 spans="1:26" ht="32.25" customHeight="1">
      <c r="A16" s="188" t="s">
        <v>29</v>
      </c>
      <c r="B16" s="126"/>
      <c r="C16" s="126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 spans="1:26" ht="14.25" customHeight="1">
      <c r="A17" s="141" t="s">
        <v>118</v>
      </c>
      <c r="B17" s="126"/>
      <c r="C17" s="124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4.25" customHeight="1">
      <c r="A18" s="85"/>
      <c r="B18" s="81"/>
      <c r="C18" s="86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4.25" customHeight="1">
      <c r="A19" s="87" t="s">
        <v>119</v>
      </c>
      <c r="B19" s="7"/>
      <c r="C19" s="88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4.25" customHeight="1">
      <c r="A20" s="87"/>
      <c r="B20" s="7"/>
      <c r="C20" s="88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4.25" customHeight="1">
      <c r="A21" s="87" t="s">
        <v>120</v>
      </c>
      <c r="B21" s="7"/>
      <c r="C21" s="88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4.25" customHeight="1">
      <c r="A22" s="87"/>
      <c r="B22" s="7"/>
      <c r="C22" s="88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4.25" customHeight="1">
      <c r="A23" s="87" t="s">
        <v>121</v>
      </c>
      <c r="B23" s="7"/>
      <c r="C23" s="88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4.25" customHeight="1">
      <c r="A24" s="87" t="s">
        <v>122</v>
      </c>
      <c r="B24" s="7"/>
      <c r="C24" s="88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4.25" customHeight="1">
      <c r="A25" s="87"/>
      <c r="B25" s="7"/>
      <c r="C25" s="88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4.25" customHeight="1">
      <c r="A26" s="189" t="s">
        <v>123</v>
      </c>
      <c r="B26" s="143"/>
      <c r="C26" s="134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4.25" customHeight="1">
      <c r="A27" s="87" t="s">
        <v>124</v>
      </c>
      <c r="B27" s="7"/>
      <c r="C27" s="88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4.25" customHeight="1">
      <c r="A28" s="87"/>
      <c r="B28" s="7"/>
      <c r="C28" s="88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4.25" customHeight="1">
      <c r="A29" s="87" t="s">
        <v>125</v>
      </c>
      <c r="B29" s="7"/>
      <c r="C29" s="88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4.25" customHeight="1">
      <c r="A30" s="87" t="s">
        <v>126</v>
      </c>
      <c r="B30" s="7"/>
      <c r="C30" s="88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4.25" customHeight="1">
      <c r="A31" s="87" t="s">
        <v>127</v>
      </c>
      <c r="B31" s="7"/>
      <c r="C31" s="88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4.25" customHeight="1">
      <c r="A32" s="87"/>
      <c r="B32" s="7"/>
      <c r="C32" s="88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4.25" customHeight="1">
      <c r="A33" s="87" t="s">
        <v>128</v>
      </c>
      <c r="B33" s="7"/>
      <c r="C33" s="88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4.25" customHeight="1">
      <c r="A34" s="87" t="s">
        <v>129</v>
      </c>
      <c r="B34" s="7"/>
      <c r="C34" s="88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4.25" customHeight="1">
      <c r="A35" s="87"/>
      <c r="B35" s="7"/>
      <c r="C35" s="88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4.25" customHeight="1">
      <c r="A36" s="87" t="s">
        <v>130</v>
      </c>
      <c r="B36" s="7"/>
      <c r="C36" s="88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4.25" customHeight="1">
      <c r="A37" s="87" t="s">
        <v>131</v>
      </c>
      <c r="B37" s="7"/>
      <c r="C37" s="88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4.25" customHeight="1">
      <c r="A38" s="87" t="s">
        <v>132</v>
      </c>
      <c r="B38" s="7"/>
      <c r="C38" s="88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4.25" customHeight="1">
      <c r="A39" s="87"/>
      <c r="B39" s="7"/>
      <c r="C39" s="88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4.25" customHeight="1">
      <c r="A40" s="87"/>
      <c r="B40" s="7"/>
      <c r="C40" s="88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4.25" customHeight="1">
      <c r="A41" s="87"/>
      <c r="B41" s="7"/>
      <c r="C41" s="88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4.25" customHeight="1">
      <c r="A42" s="87"/>
      <c r="B42" s="7"/>
      <c r="C42" s="88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4.25" customHeight="1">
      <c r="A43" s="87" t="s">
        <v>133</v>
      </c>
      <c r="B43" s="7"/>
      <c r="C43" s="88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4.25" customHeight="1">
      <c r="A44" s="87" t="s">
        <v>134</v>
      </c>
      <c r="B44" s="7"/>
      <c r="C44" s="88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4.25" customHeight="1">
      <c r="A45" s="87"/>
      <c r="B45" s="7"/>
      <c r="C45" s="88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4.25" customHeight="1">
      <c r="A46" s="89"/>
      <c r="B46" s="90"/>
      <c r="C46" s="91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4.2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4.2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4.2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4.2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4.2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4.2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4.2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4.2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4.25" customHeight="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4.25" customHeight="1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4.25" customHeight="1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4.25" customHeight="1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4.25" customHeight="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4.25" customHeight="1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4.25" customHeight="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4.25" customHeight="1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4.25" customHeight="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4.25" customHeight="1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4.25" customHeight="1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4.25" customHeight="1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4.25" customHeight="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4.25" customHeight="1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4.25" customHeight="1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4.25" customHeight="1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4.25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4.2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4.2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4.25" customHeight="1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4.25" customHeight="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4.25" customHeight="1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4.25" customHeight="1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4.25" customHeight="1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4.25" customHeight="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4.25" customHeight="1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4.25" customHeight="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4.2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4.2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4.2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4.2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4.2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4.2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4.2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4.2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4.2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4.2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4.2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4.2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4.2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4.2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4.2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4.2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4.2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4.2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4.2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4.2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4.2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4.2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4.2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4.2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4.2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4.2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4.2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4.2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4.2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4.2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4.2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4.2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4.2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4.2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4.2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4.2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4.2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4.2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4.2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4.2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4.2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4.2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4.2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4.2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4.2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4.2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4.2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4.2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4.2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4.25" customHeight="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4.25" customHeight="1">
      <c r="A1002" s="7"/>
      <c r="B1002" s="7"/>
      <c r="C1002" s="7"/>
      <c r="D1002" s="7"/>
      <c r="E1002" s="7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4.25" customHeight="1">
      <c r="A1003" s="7"/>
      <c r="B1003" s="7"/>
      <c r="C1003" s="7"/>
      <c r="D1003" s="7"/>
      <c r="E1003" s="7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4.25" customHeight="1">
      <c r="A1004" s="7"/>
      <c r="B1004" s="7"/>
      <c r="C1004" s="7"/>
      <c r="D1004" s="7"/>
      <c r="E1004" s="7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4.25" customHeight="1">
      <c r="A1005" s="7"/>
      <c r="B1005" s="7"/>
      <c r="C1005" s="7"/>
      <c r="D1005" s="7"/>
      <c r="E1005" s="7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4.25" customHeight="1">
      <c r="A1006" s="7"/>
      <c r="B1006" s="7"/>
      <c r="C1006" s="7"/>
      <c r="D1006" s="7"/>
      <c r="E1006" s="7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</sheetData>
  <mergeCells count="5">
    <mergeCell ref="A3:C3"/>
    <mergeCell ref="A4:C4"/>
    <mergeCell ref="A16:C16"/>
    <mergeCell ref="A17:C17"/>
    <mergeCell ref="A26:C26"/>
  </mergeCells>
  <printOptions horizontalCentered="1"/>
  <pageMargins left="0.7" right="0.7" top="0.75" bottom="0.75" header="0.3" footer="0.3"/>
  <pageSetup paperSize="9" scale="81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topLeftCell="A19" workbookViewId="0">
      <selection sqref="A1:C23"/>
    </sheetView>
  </sheetViews>
  <sheetFormatPr defaultColWidth="14.42578125" defaultRowHeight="15" customHeight="1"/>
  <cols>
    <col min="1" max="1" width="49.42578125" customWidth="1"/>
    <col min="2" max="2" width="7" customWidth="1"/>
    <col min="3" max="3" width="38.28515625" customWidth="1"/>
    <col min="4" max="8" width="9.140625" customWidth="1"/>
    <col min="9" max="26" width="8.7109375" customWidth="1"/>
  </cols>
  <sheetData>
    <row r="1" spans="1:26" ht="14.25" customHeight="1">
      <c r="A1" s="15" t="s">
        <v>0</v>
      </c>
      <c r="B1" s="15"/>
      <c r="C1" s="16" t="s">
        <v>1</v>
      </c>
      <c r="D1" s="15"/>
      <c r="E1" s="15"/>
      <c r="F1" s="15"/>
      <c r="G1" s="15"/>
      <c r="H1" s="16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ht="14.25" customHeight="1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33" customHeight="1">
      <c r="A3" s="141" t="s">
        <v>135</v>
      </c>
      <c r="B3" s="126"/>
      <c r="C3" s="124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spans="1:26" ht="52.5" customHeight="1">
      <c r="A4" s="138" t="s">
        <v>136</v>
      </c>
      <c r="B4" s="158"/>
      <c r="C4" s="132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ht="33" customHeight="1">
      <c r="A5" s="92"/>
      <c r="B5" s="191"/>
      <c r="C5" s="132"/>
      <c r="D5" s="25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spans="1:26" ht="33" customHeight="1">
      <c r="A6" s="93" t="s">
        <v>137</v>
      </c>
      <c r="B6" s="192" t="s">
        <v>138</v>
      </c>
      <c r="C6" s="134"/>
      <c r="D6" s="25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spans="1:26" ht="33" customHeight="1">
      <c r="A7" s="94"/>
      <c r="B7" s="193" t="s">
        <v>139</v>
      </c>
      <c r="C7" s="136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spans="1:26" ht="33" customHeight="1">
      <c r="A8" s="95"/>
      <c r="B8" s="194"/>
      <c r="C8" s="134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33" customHeight="1">
      <c r="A9" s="95"/>
      <c r="B9" s="195" t="s">
        <v>138</v>
      </c>
      <c r="C9" s="134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33" customHeight="1">
      <c r="A10" s="94"/>
      <c r="B10" s="196" t="s">
        <v>140</v>
      </c>
      <c r="C10" s="136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60" customHeight="1">
      <c r="A11" s="46"/>
      <c r="B11" s="197" t="s">
        <v>138</v>
      </c>
      <c r="C11" s="132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25" customHeight="1">
      <c r="A12" s="95"/>
      <c r="B12" s="194" t="s">
        <v>141</v>
      </c>
      <c r="C12" s="134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4.25" customHeight="1">
      <c r="A13" s="95"/>
      <c r="B13" s="194" t="s">
        <v>142</v>
      </c>
      <c r="C13" s="134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25" customHeight="1">
      <c r="A14" s="94"/>
      <c r="B14" s="198" t="s">
        <v>143</v>
      </c>
      <c r="C14" s="136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33" customHeight="1">
      <c r="A15" s="141" t="s">
        <v>144</v>
      </c>
      <c r="B15" s="126"/>
      <c r="C15" s="124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33" customHeight="1">
      <c r="A16" s="41" t="s">
        <v>145</v>
      </c>
      <c r="B16" s="4" t="s">
        <v>58</v>
      </c>
      <c r="C16" s="96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33" customHeight="1">
      <c r="A17" s="41" t="s">
        <v>146</v>
      </c>
      <c r="B17" s="4" t="s">
        <v>58</v>
      </c>
      <c r="C17" s="96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33" customHeight="1">
      <c r="A18" s="41" t="s">
        <v>147</v>
      </c>
      <c r="B18" s="4" t="s">
        <v>58</v>
      </c>
      <c r="C18" s="96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33" customHeight="1">
      <c r="A20" s="68" t="s">
        <v>148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</row>
    <row r="21" spans="1:26" ht="14.25" customHeight="1">
      <c r="A21" s="190" t="s">
        <v>149</v>
      </c>
      <c r="B21" s="143"/>
      <c r="C21" s="143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</row>
    <row r="22" spans="1:26" ht="14.25" customHeight="1">
      <c r="A22" s="143"/>
      <c r="B22" s="143"/>
      <c r="C22" s="143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</row>
    <row r="23" spans="1:26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4.2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4.2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4.2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4.2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4.2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4.2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4.2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4.2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4.2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4.2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4.2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4.2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4.2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4.2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4.2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4.2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4.2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4.2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4.2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4.2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4.2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4.2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4.2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4.2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4.2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4.2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4.2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4.2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4.2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4.2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4.2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4.2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4.2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4.2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4.2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4.2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4.2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4.2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4.2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4.2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4.2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4.2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4.2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4.2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4.2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4.2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4.2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4.2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4.2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4.2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4.2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4.2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4.2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4.2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4.2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4.2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4.2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4.2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4.2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4.2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4.2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4.2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4.2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4.2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4.2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4.2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4.2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4.2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4.2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4.2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4.2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4.2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4.2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4.2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4.2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4.2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4.2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4.2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4.2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4.2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4.2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4.2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4.2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4.2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4.2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4.2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4.2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4.2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4.2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4.2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4.2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4.2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4.2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4.2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4.2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4.2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4.2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4.2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4.2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4.2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4.2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4.2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4.2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4.2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4.2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4.2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4.2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4.2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4.2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4.2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4.2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4.2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4.2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4.2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4.2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4.2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4.2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4.2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4.2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4.2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4.2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4.2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4.2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4.2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4.2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4.2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4.2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4.2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4.2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4.2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4.2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4.2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4.2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4.2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4.2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4.2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4.2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4.2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4.2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4.2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4.2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4.2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4.2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4.2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4.2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4.2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4.2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4.2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4.2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4.2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4.2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4.2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4.2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4.2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4.2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4.2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4.2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4.2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4.2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4.2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4.2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4.2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4.2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4.2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4.2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4.2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4.2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4.2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4.2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4.2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4.2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4.2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4.2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4.2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4.2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4.2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4.2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4.2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4.2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4.2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4.2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4.2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4.2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4.2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4.2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4.2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4.2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4.2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4.2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4.2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4.2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4.2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4.2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4.2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4.2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4.2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4.2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4.2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4.2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4.2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4.2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4.2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4.2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4.2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4.2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4.2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4.2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4.2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4.2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4.2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4.2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4.2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4.2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4.2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4.2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4.2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4.2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4.2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4.2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4.2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4.2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4.2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4.2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4.2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4.2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4.2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4.2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4.2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4.2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4.2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4.2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4.2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4.2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4.2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4.2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4.2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4.2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4.2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4.2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4.2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4.2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4.2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4.2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4.2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4.2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4.2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4.2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4.2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4.2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4.2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4.2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4.2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4.2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4.2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4.2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4.2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4.2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4.2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4.2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4.2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4.2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4.2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4.2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4.2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4.2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4.2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4.2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4.2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4.2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4.2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4.2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4.2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4.2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4.2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4.2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4.2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4.2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4.2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4.2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4.2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4.2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4.2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4.2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4.2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4.2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4.2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4.2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4.2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4.2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4.2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4.2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4.2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4.2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4.2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4.2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4.2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4.2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4.2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4.2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4.2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4.2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4.2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4.2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4.2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4.2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4.2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4.2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4.2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4.2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4.2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4.2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4.2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4.2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4.2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4.2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4.2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4.2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4.2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4.2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4.2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4.2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4.2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4.2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4.2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4.2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4.2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4.2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4.2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4.2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4.2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4.2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4.2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4.2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4.2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4.2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4.2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4.2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4.2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4.2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4.2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4.2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4.2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4.2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4.2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4.2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4.2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4.2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4.2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4.2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4.2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4.2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4.2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4.2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4.2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4.2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4.2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4.2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4.2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4.2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4.2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4.2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4.2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4.2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4.2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4.2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4.2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4.2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4.2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4.2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4.2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4.2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4.2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4.2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4.2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4.2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4.2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4.2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4.2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4.2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4.2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4.2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4.2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4.2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4.2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4.2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4.2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4.2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4.2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4.2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4.2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4.2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4.2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4.2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4.2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4.2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4.2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4.2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4.2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4.2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4.2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4.2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4.2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4.2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4.2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4.2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4.2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4.2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4.2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4.2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4.2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4.2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4.2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4.2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4.2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4.2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4.2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4.2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4.2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4.2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4.2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4.2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4.2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4.2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4.2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4.2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4.2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4.2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4.2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4.2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4.2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4.2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4.2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4.2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4.2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4.2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4.2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4.2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4.2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4.2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4.2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4.2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4.2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4.2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4.2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4.2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4.2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4.2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4.2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4.2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4.2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4.2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4.2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4.2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4.2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4.2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4.2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4.2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4.2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4.2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4.2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4.2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4.2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4.2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4.2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4.2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4.2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4.2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4.2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4.2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4.2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4.2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4.2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4.2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4.2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4.2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4.2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4.2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4.2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4.2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4.2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4.2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4.2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4.2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4.2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4.2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4.2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4.2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4.2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4.2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4.2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4.2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4.2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4.2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4.2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4.2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4.2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4.2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4.2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4.2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4.2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4.2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4.2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4.2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4.2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4.2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4.2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4.2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4.2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4.2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4.2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4.2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4.2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4.2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4.2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4.2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4.2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4.2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4.2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4.2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4.2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4.2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4.2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4.2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4.2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4.2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4.2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4.2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4.2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4.2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4.2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4.2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4.2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4.2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4.2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4.2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4.2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4.2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4.2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4.2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4.2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4.2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4.2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4.2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4.2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4.2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4.2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4.2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4.2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4.2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4.2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4.2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4.2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4.2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4.2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4.2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4.2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4.2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4.2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4.2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4.2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4.2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4.2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4.2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4.2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4.2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4.2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4.2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4.2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4.2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4.2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4.2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4.2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4.2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4.2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4.2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4.2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4.2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4.2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4.2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4.2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4.2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4.2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4.2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4.2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4.2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4.2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4.2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4.2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4.2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4.2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4.2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4.2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4.2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4.2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4.2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4.2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4.2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4.2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4.2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4.2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4.2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4.2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4.2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4.2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4.2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4.2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4.2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4.2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4.2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4.2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4.2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4.2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4.2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4.2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4.2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4.2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4.2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4.2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4.2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4.2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4.2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4.2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4.2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4.2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4.2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4.2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4.2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4.2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4.2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4.2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4.2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4.2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4.2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4.2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4.2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4.2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4.2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4.2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4.2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4.2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4.2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4.2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4.2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4.2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4.2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4.2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4.2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4.2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4.2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4.2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4.2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4.2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4.2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4.2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4.2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4.2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4.2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4.2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4.2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4.2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4.2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4.2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4.2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4.2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4.2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4.2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4.2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4.2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4.2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4.2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4.2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4.2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4.2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4.2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4.2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4.2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4.2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4.2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4.2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4.2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4.2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4.2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4.2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4.2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4.2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4.2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4.2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4.2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4.2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4.2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4.2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4.2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4.2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4.2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4.2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4.2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4.2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4.2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4.2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4.2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4.2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4.2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4.2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4.2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4.2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4.2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4.2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4.2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4.2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4.2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4.2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4.2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4.2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4.2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4.2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4.2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4.2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4.2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4.2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4.2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4.2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4.2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4.2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4.2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4.2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4.2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4.2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4.2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4.2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4.2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4.2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4.2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4.2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4.2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4.2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4.2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4.2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4.2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4.2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4.2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4.2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4.2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4.2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4.2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4.2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4.2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4.2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4.2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4.2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4.2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4.2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4.2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4.2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4.2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4.2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4.2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4.2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4.2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4.2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4.2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4.2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4.2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4.2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4.2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4.2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4.2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4.2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4.2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4.2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4.2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4.2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4.2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4.2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4.2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4.2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4.2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4.2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4.2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4.2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4.2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4.2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4.2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4.2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4.2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4.2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4.2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4.2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4.2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4.2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4.2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4.2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4.2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4.2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4.2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4.2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4.2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4.2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4.2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4.2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4.2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4.2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4.2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4.2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4.2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4.2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4.2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4.2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4.2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4.2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4.2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4.2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4.2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4.2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4.2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4.2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4.2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4.2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4.2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4.2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4.2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4.2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4.2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4.2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4.2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4.2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4.2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4.2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4.2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4.2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4.2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4.2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4.2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4.2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4.2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4.2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4.2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4.2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4.2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4.2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4.2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4.2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4.2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4.2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4.2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4.2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4.2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4.2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4.2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4.2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4.2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4.2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4.2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4.2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4.2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4.2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4.2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4.2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4.2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4.2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4.2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4.2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4.2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4.2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4.2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4.2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4.2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4.2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4.2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4.2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mergeCells count="14">
    <mergeCell ref="A15:C15"/>
    <mergeCell ref="A21:C22"/>
    <mergeCell ref="A3:C3"/>
    <mergeCell ref="A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</mergeCells>
  <printOptions horizontalCentered="1"/>
  <pageMargins left="0.7" right="0.7" top="0.75" bottom="0.75" header="0.3" footer="0.3"/>
  <pageSetup paperSize="9" scale="92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Z1003"/>
  <sheetViews>
    <sheetView workbookViewId="0">
      <selection activeCell="O13" sqref="O13"/>
    </sheetView>
  </sheetViews>
  <sheetFormatPr defaultColWidth="14.42578125" defaultRowHeight="15" customHeight="1"/>
  <cols>
    <col min="1" max="7" width="8.7109375" customWidth="1"/>
    <col min="8" max="8" width="30.5703125" customWidth="1"/>
    <col min="9" max="9" width="4.28515625" customWidth="1"/>
    <col min="10" max="10" width="8.7109375" customWidth="1"/>
    <col min="11" max="11" width="4.85546875" customWidth="1"/>
    <col min="12" max="26" width="8.7109375" customWidth="1"/>
  </cols>
  <sheetData>
    <row r="1" spans="1:12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</row>
    <row r="2" spans="1:12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</row>
    <row r="3" spans="1:12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spans="1:1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</row>
    <row r="5" spans="1:12">
      <c r="A5" s="14"/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</row>
    <row r="6" spans="1:12">
      <c r="A6" s="14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</row>
    <row r="7" spans="1:12" ht="15.75">
      <c r="A7" s="201" t="s">
        <v>150</v>
      </c>
      <c r="B7" s="143"/>
      <c r="C7" s="143"/>
      <c r="D7" s="143"/>
      <c r="E7" s="143"/>
      <c r="F7" s="143"/>
      <c r="G7" s="143"/>
      <c r="H7" s="143"/>
      <c r="I7" s="143"/>
      <c r="J7" s="143"/>
      <c r="K7" s="143"/>
      <c r="L7" s="143"/>
    </row>
    <row r="8" spans="1:12" ht="15.75">
      <c r="A8" s="202" t="s">
        <v>151</v>
      </c>
      <c r="B8" s="143"/>
      <c r="C8" s="143"/>
      <c r="D8" s="143"/>
      <c r="E8" s="143"/>
      <c r="F8" s="143"/>
      <c r="G8" s="143"/>
      <c r="H8" s="143"/>
      <c r="I8" s="143"/>
      <c r="J8" s="143"/>
      <c r="K8" s="143"/>
      <c r="L8" s="143"/>
    </row>
    <row r="9" spans="1:12">
      <c r="A9" s="203" t="s">
        <v>152</v>
      </c>
      <c r="B9" s="143"/>
      <c r="C9" s="143"/>
      <c r="D9" s="143"/>
      <c r="E9" s="143"/>
      <c r="F9" s="143"/>
      <c r="G9" s="143"/>
      <c r="H9" s="143"/>
      <c r="I9" s="143"/>
      <c r="J9" s="143"/>
      <c r="K9" s="143"/>
      <c r="L9" s="143"/>
    </row>
    <row r="10" spans="1:12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ht="15.75">
      <c r="A11" s="204" t="s">
        <v>153</v>
      </c>
      <c r="B11" s="143"/>
      <c r="C11" s="143"/>
      <c r="D11" s="143"/>
      <c r="E11" s="143"/>
      <c r="F11" s="143"/>
      <c r="G11" s="143"/>
      <c r="H11" s="143"/>
      <c r="I11" s="14"/>
      <c r="J11" s="14"/>
      <c r="K11" s="14"/>
      <c r="L11" s="14"/>
    </row>
    <row r="12" spans="1:12">
      <c r="A12" s="14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</row>
    <row r="13" spans="1:12" ht="15.75">
      <c r="A13" s="200" t="s">
        <v>154</v>
      </c>
      <c r="B13" s="143"/>
      <c r="C13" s="143"/>
      <c r="D13" s="143"/>
      <c r="E13" s="143"/>
      <c r="F13" s="143"/>
      <c r="G13" s="143"/>
      <c r="H13" s="143"/>
      <c r="I13" s="98"/>
      <c r="J13" s="14"/>
      <c r="K13" s="98"/>
      <c r="L13" s="14"/>
    </row>
    <row r="14" spans="1:12" ht="15.75">
      <c r="A14" s="200" t="s">
        <v>155</v>
      </c>
      <c r="B14" s="143"/>
      <c r="C14" s="143"/>
      <c r="D14" s="143"/>
      <c r="E14" s="143"/>
      <c r="F14" s="143"/>
      <c r="G14" s="143"/>
      <c r="H14" s="99"/>
      <c r="I14" s="14"/>
      <c r="J14" s="14"/>
      <c r="K14" s="14"/>
      <c r="L14" s="14"/>
    </row>
    <row r="15" spans="1:12" ht="15.75">
      <c r="A15" s="200" t="s">
        <v>156</v>
      </c>
      <c r="B15" s="143"/>
      <c r="C15" s="143"/>
      <c r="D15" s="143"/>
      <c r="E15" s="143"/>
      <c r="F15" s="143"/>
      <c r="G15" s="143"/>
      <c r="H15" s="143"/>
      <c r="I15" s="14"/>
      <c r="J15" s="14"/>
      <c r="K15" s="14"/>
      <c r="L15" s="14"/>
    </row>
    <row r="16" spans="1:12" ht="15.75">
      <c r="A16" s="200" t="s">
        <v>157</v>
      </c>
      <c r="B16" s="143"/>
      <c r="C16" s="143"/>
      <c r="D16" s="143"/>
      <c r="E16" s="143"/>
      <c r="F16" s="143"/>
      <c r="G16" s="143"/>
      <c r="H16" s="97"/>
      <c r="I16" s="14"/>
      <c r="J16" s="14"/>
      <c r="K16" s="14"/>
      <c r="L16" s="14"/>
    </row>
    <row r="17" spans="1:12" ht="15.75">
      <c r="A17" s="97"/>
      <c r="B17" s="97"/>
      <c r="C17" s="97"/>
      <c r="D17" s="97"/>
      <c r="E17" s="97"/>
      <c r="F17" s="97"/>
      <c r="G17" s="97"/>
      <c r="H17" s="97"/>
      <c r="I17" s="14"/>
      <c r="J17" s="14"/>
      <c r="K17" s="14"/>
      <c r="L17" s="14"/>
    </row>
    <row r="18" spans="1:12" ht="15.75">
      <c r="A18" s="97" t="s">
        <v>158</v>
      </c>
      <c r="B18" s="97"/>
      <c r="C18" s="97"/>
      <c r="D18" s="97"/>
      <c r="E18" s="97"/>
      <c r="F18" s="97"/>
      <c r="G18" s="97"/>
      <c r="H18" s="97"/>
      <c r="I18" s="98"/>
      <c r="J18" s="14"/>
      <c r="K18" s="98"/>
      <c r="L18" s="14"/>
    </row>
    <row r="19" spans="1:12" ht="15.75">
      <c r="A19" s="200" t="s">
        <v>159</v>
      </c>
      <c r="B19" s="143"/>
      <c r="C19" s="143"/>
      <c r="D19" s="143"/>
      <c r="E19" s="143"/>
      <c r="F19" s="143"/>
      <c r="G19" s="143"/>
      <c r="H19" s="143"/>
      <c r="I19" s="14"/>
      <c r="J19" s="14"/>
      <c r="K19" s="14"/>
      <c r="L19" s="14"/>
    </row>
    <row r="20" spans="1:12" ht="15.75">
      <c r="A20" s="97"/>
      <c r="B20" s="97"/>
      <c r="C20" s="97"/>
      <c r="D20" s="97"/>
      <c r="E20" s="97"/>
      <c r="F20" s="97"/>
      <c r="G20" s="97"/>
      <c r="H20" s="97"/>
      <c r="I20" s="14"/>
      <c r="J20" s="14"/>
      <c r="K20" s="14"/>
      <c r="L20" s="14"/>
    </row>
    <row r="21" spans="1:12" ht="15.75" customHeight="1">
      <c r="A21" s="200" t="s">
        <v>160</v>
      </c>
      <c r="B21" s="143"/>
      <c r="C21" s="143"/>
      <c r="D21" s="143"/>
      <c r="E21" s="143"/>
      <c r="F21" s="143"/>
      <c r="G21" s="143"/>
      <c r="H21" s="143"/>
      <c r="I21" s="98"/>
      <c r="J21" s="14"/>
      <c r="K21" s="98"/>
      <c r="L21" s="14"/>
    </row>
    <row r="22" spans="1:12" ht="15.75" customHeight="1">
      <c r="A22" s="97"/>
      <c r="B22" s="97"/>
      <c r="C22" s="97"/>
      <c r="D22" s="97"/>
      <c r="E22" s="97"/>
      <c r="F22" s="97"/>
      <c r="G22" s="97"/>
      <c r="H22" s="97"/>
      <c r="I22" s="14"/>
      <c r="J22" s="14"/>
      <c r="K22" s="14"/>
      <c r="L22" s="14"/>
    </row>
    <row r="23" spans="1:12" ht="15.75" customHeight="1">
      <c r="A23" s="200" t="s">
        <v>161</v>
      </c>
      <c r="B23" s="143"/>
      <c r="C23" s="143"/>
      <c r="D23" s="143"/>
      <c r="E23" s="143"/>
      <c r="F23" s="143"/>
      <c r="G23" s="143"/>
      <c r="H23" s="143"/>
      <c r="I23" s="98"/>
      <c r="J23" s="14"/>
      <c r="K23" s="98"/>
      <c r="L23" s="14"/>
    </row>
    <row r="24" spans="1:12" ht="15.75" customHeigh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</row>
    <row r="25" spans="1:12" ht="15.75" customHeight="1">
      <c r="A25" s="200" t="s">
        <v>162</v>
      </c>
      <c r="B25" s="143"/>
      <c r="C25" s="143"/>
      <c r="D25" s="143"/>
      <c r="E25" s="143"/>
      <c r="F25" s="143"/>
      <c r="G25" s="143"/>
      <c r="H25" s="143"/>
      <c r="I25" s="98"/>
      <c r="J25" s="14"/>
      <c r="K25" s="98"/>
      <c r="L25" s="14"/>
    </row>
    <row r="26" spans="1:12" ht="15.75" customHeight="1">
      <c r="A26" s="200" t="s">
        <v>159</v>
      </c>
      <c r="B26" s="143"/>
      <c r="C26" s="143"/>
      <c r="D26" s="143"/>
      <c r="E26" s="143"/>
      <c r="F26" s="143"/>
      <c r="G26" s="143"/>
      <c r="H26" s="143"/>
      <c r="I26" s="14"/>
      <c r="J26" s="14"/>
      <c r="K26" s="14"/>
      <c r="L26" s="14"/>
    </row>
    <row r="27" spans="1:12" ht="15.75" customHeight="1">
      <c r="A27" s="97"/>
      <c r="B27" s="97"/>
      <c r="C27" s="97"/>
      <c r="D27" s="97"/>
      <c r="E27" s="97"/>
      <c r="F27" s="97"/>
      <c r="G27" s="97"/>
      <c r="H27" s="97"/>
      <c r="I27" s="14"/>
      <c r="J27" s="14"/>
      <c r="K27" s="14"/>
      <c r="L27" s="14"/>
    </row>
    <row r="28" spans="1:12" ht="15.75" customHeight="1">
      <c r="A28" s="200" t="s">
        <v>163</v>
      </c>
      <c r="B28" s="143"/>
      <c r="C28" s="143"/>
      <c r="D28" s="143"/>
      <c r="E28" s="143"/>
      <c r="F28" s="143"/>
      <c r="G28" s="143"/>
      <c r="H28" s="143"/>
      <c r="I28" s="98"/>
      <c r="J28" s="14"/>
      <c r="K28" s="98"/>
      <c r="L28" s="14"/>
    </row>
    <row r="29" spans="1:12" ht="15.75" customHeight="1">
      <c r="A29" s="200" t="s">
        <v>164</v>
      </c>
      <c r="B29" s="143"/>
      <c r="C29" s="143"/>
      <c r="D29" s="143"/>
      <c r="E29" s="143"/>
      <c r="F29" s="143"/>
      <c r="G29" s="143"/>
      <c r="H29" s="143"/>
      <c r="I29" s="14"/>
      <c r="J29" s="14"/>
      <c r="K29" s="14"/>
      <c r="L29" s="14"/>
    </row>
    <row r="30" spans="1:12" ht="15.75" customHeight="1">
      <c r="A30" s="200" t="s">
        <v>165</v>
      </c>
      <c r="B30" s="143"/>
      <c r="C30" s="143"/>
      <c r="D30" s="143"/>
      <c r="E30" s="143"/>
      <c r="F30" s="143"/>
      <c r="G30" s="143"/>
      <c r="H30" s="143"/>
      <c r="I30" s="14"/>
      <c r="J30" s="14"/>
      <c r="K30" s="14"/>
      <c r="L30" s="14"/>
    </row>
    <row r="31" spans="1:12" ht="15.75" customHeight="1">
      <c r="A31" s="97"/>
      <c r="B31" s="97"/>
      <c r="C31" s="97"/>
      <c r="D31" s="97"/>
      <c r="E31" s="97"/>
      <c r="F31" s="97"/>
      <c r="G31" s="97"/>
      <c r="H31" s="97"/>
      <c r="I31" s="14"/>
      <c r="J31" s="14"/>
      <c r="K31" s="14"/>
      <c r="L31" s="14"/>
    </row>
    <row r="32" spans="1:12" ht="15.75" customHeight="1">
      <c r="A32" s="200" t="s">
        <v>166</v>
      </c>
      <c r="B32" s="143"/>
      <c r="C32" s="143"/>
      <c r="D32" s="143"/>
      <c r="E32" s="143"/>
      <c r="F32" s="143"/>
      <c r="G32" s="143"/>
      <c r="H32" s="143"/>
      <c r="I32" s="98"/>
      <c r="J32" s="14"/>
      <c r="K32" s="98"/>
      <c r="L32" s="14"/>
    </row>
    <row r="33" spans="1:26" ht="15.75" customHeight="1">
      <c r="A33" s="200" t="s">
        <v>167</v>
      </c>
      <c r="B33" s="143"/>
      <c r="C33" s="143"/>
      <c r="D33" s="143"/>
      <c r="E33" s="143"/>
      <c r="F33" s="143"/>
      <c r="G33" s="143"/>
      <c r="H33" s="143"/>
      <c r="I33" s="14"/>
      <c r="J33" s="14"/>
      <c r="K33" s="14"/>
      <c r="L33" s="14"/>
    </row>
    <row r="34" spans="1:26" ht="15.75" customHeight="1">
      <c r="A34" s="97"/>
      <c r="B34" s="97"/>
      <c r="C34" s="97"/>
      <c r="D34" s="97"/>
      <c r="E34" s="97"/>
      <c r="F34" s="97"/>
      <c r="G34" s="97"/>
      <c r="H34" s="97"/>
      <c r="I34" s="14"/>
      <c r="J34" s="14"/>
      <c r="K34" s="14"/>
      <c r="L34" s="14"/>
    </row>
    <row r="35" spans="1:26" ht="15.75" customHeight="1">
      <c r="A35" s="200" t="s">
        <v>168</v>
      </c>
      <c r="B35" s="143"/>
      <c r="C35" s="143"/>
      <c r="D35" s="143"/>
      <c r="E35" s="143"/>
      <c r="F35" s="143"/>
      <c r="G35" s="143"/>
      <c r="H35" s="143"/>
      <c r="I35" s="98"/>
      <c r="J35" s="14"/>
      <c r="K35" s="98"/>
      <c r="L35" s="14"/>
    </row>
    <row r="36" spans="1:26" ht="15.75" customHeight="1">
      <c r="A36" s="200" t="s">
        <v>169</v>
      </c>
      <c r="B36" s="143"/>
      <c r="C36" s="143"/>
      <c r="D36" s="143"/>
      <c r="E36" s="143"/>
      <c r="F36" s="143"/>
      <c r="G36" s="143"/>
      <c r="H36" s="143"/>
      <c r="I36" s="14"/>
      <c r="J36" s="14"/>
      <c r="K36" s="14"/>
      <c r="L36" s="14"/>
    </row>
    <row r="37" spans="1:26" ht="15.75" customHeight="1">
      <c r="A37" s="200" t="s">
        <v>170</v>
      </c>
      <c r="B37" s="143"/>
      <c r="C37" s="143"/>
      <c r="D37" s="143"/>
      <c r="E37" s="143"/>
      <c r="F37" s="143"/>
      <c r="G37" s="143"/>
      <c r="H37" s="143"/>
      <c r="I37" s="14"/>
      <c r="J37" s="14"/>
      <c r="K37" s="14"/>
      <c r="L37" s="14"/>
    </row>
    <row r="38" spans="1:26" ht="15.75" customHeight="1">
      <c r="A38" s="97"/>
      <c r="B38" s="97"/>
      <c r="C38" s="97"/>
      <c r="D38" s="97"/>
      <c r="E38" s="97"/>
      <c r="F38" s="97"/>
      <c r="G38" s="97"/>
      <c r="H38" s="97"/>
      <c r="I38" s="14"/>
      <c r="J38" s="14"/>
      <c r="K38" s="14"/>
      <c r="L38" s="14"/>
    </row>
    <row r="39" spans="1:26" ht="15.75" customHeight="1">
      <c r="A39" s="118" t="s">
        <v>209</v>
      </c>
      <c r="B39" s="14"/>
      <c r="C39" s="14"/>
      <c r="D39" s="14"/>
      <c r="E39" s="14"/>
      <c r="F39" s="14"/>
      <c r="G39" s="14"/>
      <c r="H39" s="14"/>
      <c r="I39" s="98"/>
      <c r="J39" s="14"/>
      <c r="K39" s="98"/>
      <c r="L39" s="14"/>
    </row>
    <row r="40" spans="1:26" ht="15.75" customHeight="1">
      <c r="A40" s="99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</row>
    <row r="41" spans="1:26" ht="15.75" customHeight="1">
      <c r="A41" s="118" t="s">
        <v>171</v>
      </c>
      <c r="B41" s="14"/>
      <c r="C41" s="14"/>
      <c r="D41" s="14"/>
      <c r="E41" s="14"/>
      <c r="F41" s="14"/>
      <c r="G41" s="14"/>
      <c r="H41" s="14"/>
      <c r="I41" s="98"/>
      <c r="J41" s="14"/>
      <c r="K41" s="98"/>
      <c r="L41" s="14"/>
    </row>
    <row r="42" spans="1:26" ht="15.75" customHeight="1">
      <c r="A42" s="99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spans="1:26" ht="15.75" customHeight="1">
      <c r="A43" s="99" t="s">
        <v>172</v>
      </c>
      <c r="B43" s="14"/>
      <c r="C43" s="14"/>
      <c r="D43" s="14"/>
      <c r="E43" s="14"/>
      <c r="F43" s="14"/>
      <c r="G43" s="14"/>
      <c r="H43" s="14"/>
      <c r="I43" s="98"/>
      <c r="J43" s="14"/>
      <c r="K43" s="98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spans="1:26" ht="15.75" customHeight="1">
      <c r="A44" s="99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spans="1:26" ht="15.75" customHeight="1">
      <c r="A45" s="200" t="s">
        <v>173</v>
      </c>
      <c r="B45" s="143"/>
      <c r="C45" s="143"/>
      <c r="D45" s="143"/>
      <c r="E45" s="143"/>
      <c r="F45" s="143"/>
      <c r="G45" s="143"/>
      <c r="H45" s="143"/>
      <c r="I45" s="98"/>
      <c r="J45" s="14"/>
      <c r="K45" s="98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spans="1:26" ht="15.75" customHeight="1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</row>
    <row r="47" spans="1:26" ht="15.75" customHeight="1">
      <c r="A47" s="17" t="s">
        <v>174</v>
      </c>
      <c r="B47" s="14"/>
      <c r="C47" s="14"/>
      <c r="D47" s="14"/>
      <c r="E47" s="14"/>
      <c r="F47" s="14"/>
      <c r="G47" s="14"/>
      <c r="H47" s="14"/>
      <c r="I47" s="98"/>
      <c r="J47" s="14"/>
      <c r="K47" s="98"/>
      <c r="L47" s="14"/>
    </row>
    <row r="48" spans="1:26" ht="15.75" customHeight="1">
      <c r="A48" s="17" t="s">
        <v>175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</row>
    <row r="49" spans="1:13" ht="15.75" customHeight="1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</row>
    <row r="50" spans="1:13" ht="15.75" customHeight="1">
      <c r="A50" s="99" t="s">
        <v>176</v>
      </c>
      <c r="B50" s="199" t="s">
        <v>177</v>
      </c>
      <c r="C50" s="143"/>
      <c r="D50" s="143"/>
      <c r="E50" s="143"/>
      <c r="F50" s="143"/>
      <c r="G50" s="143"/>
      <c r="H50" s="143"/>
      <c r="I50" s="143"/>
      <c r="J50" s="143"/>
      <c r="K50" s="143"/>
      <c r="L50" s="100"/>
      <c r="M50" s="100"/>
    </row>
    <row r="51" spans="1:13" ht="15.75" customHeight="1">
      <c r="A51" s="14"/>
      <c r="B51" s="143"/>
      <c r="C51" s="143"/>
      <c r="D51" s="143"/>
      <c r="E51" s="143"/>
      <c r="F51" s="143"/>
      <c r="G51" s="143"/>
      <c r="H51" s="143"/>
      <c r="I51" s="143"/>
      <c r="J51" s="143"/>
      <c r="K51" s="143"/>
      <c r="L51" s="100"/>
      <c r="M51" s="100"/>
    </row>
    <row r="52" spans="1:13" ht="15" customHeight="1">
      <c r="B52" s="143"/>
      <c r="C52" s="143"/>
      <c r="D52" s="143"/>
      <c r="E52" s="143"/>
      <c r="F52" s="143"/>
      <c r="G52" s="143"/>
      <c r="H52" s="143"/>
      <c r="I52" s="143"/>
      <c r="J52" s="143"/>
      <c r="K52" s="143"/>
      <c r="L52" s="100"/>
      <c r="M52" s="100"/>
    </row>
    <row r="53" spans="1:13" ht="15.75" customHeight="1"/>
    <row r="54" spans="1:13" ht="15.75" customHeight="1"/>
    <row r="55" spans="1:13" ht="15.75" customHeight="1"/>
    <row r="56" spans="1:13" ht="15.75" customHeight="1"/>
    <row r="57" spans="1:13" ht="15.75" customHeight="1"/>
    <row r="58" spans="1:13" ht="15.75" customHeight="1"/>
    <row r="59" spans="1:13" ht="15.75" customHeight="1"/>
    <row r="60" spans="1:13" ht="15.75" customHeight="1"/>
    <row r="61" spans="1:13" ht="15.75" customHeight="1"/>
    <row r="62" spans="1:13" ht="15.75" customHeight="1"/>
    <row r="63" spans="1:13" ht="15.75" customHeight="1"/>
    <row r="64" spans="1:13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mergeCells count="23">
    <mergeCell ref="A7:L7"/>
    <mergeCell ref="A8:L8"/>
    <mergeCell ref="A9:L9"/>
    <mergeCell ref="A11:H11"/>
    <mergeCell ref="A13:H13"/>
    <mergeCell ref="A14:G14"/>
    <mergeCell ref="A15:H15"/>
    <mergeCell ref="A16:G16"/>
    <mergeCell ref="A19:H19"/>
    <mergeCell ref="A21:H21"/>
    <mergeCell ref="A23:H23"/>
    <mergeCell ref="A25:H25"/>
    <mergeCell ref="A26:H26"/>
    <mergeCell ref="A28:H28"/>
    <mergeCell ref="A45:H45"/>
    <mergeCell ref="B50:K52"/>
    <mergeCell ref="A29:H29"/>
    <mergeCell ref="A30:H30"/>
    <mergeCell ref="A32:H32"/>
    <mergeCell ref="A33:H33"/>
    <mergeCell ref="A35:H35"/>
    <mergeCell ref="A36:H36"/>
    <mergeCell ref="A37:H37"/>
  </mergeCells>
  <pageMargins left="0.7" right="0.7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Muka 1</vt:lpstr>
      <vt:lpstr>Muka 2</vt:lpstr>
      <vt:lpstr>Muka 3</vt:lpstr>
      <vt:lpstr>Muka 4</vt:lpstr>
      <vt:lpstr>Muka 5</vt:lpstr>
      <vt:lpstr>Muka 6</vt:lpstr>
      <vt:lpstr>SENARAI SEMAK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Shafiq</dc:creator>
  <cp:lastModifiedBy>Shafiq</cp:lastModifiedBy>
  <cp:lastPrinted>2025-11-17T03:19:41Z</cp:lastPrinted>
  <dcterms:created xsi:type="dcterms:W3CDTF">2006-09-16T00:00:00Z</dcterms:created>
  <dcterms:modified xsi:type="dcterms:W3CDTF">2025-12-02T06:16:42Z</dcterms:modified>
</cp:coreProperties>
</file>